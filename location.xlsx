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clid" sheetId="1" r:id="rId5"/>
    <sheet state="visible" name="random" sheetId="2" r:id="rId6"/>
  </sheets>
  <definedNames/>
  <calcPr/>
</workbook>
</file>

<file path=xl/sharedStrings.xml><?xml version="1.0" encoding="utf-8"?>
<sst xmlns="http://schemas.openxmlformats.org/spreadsheetml/2006/main" count="655" uniqueCount="50">
  <si>
    <t>l</t>
  </si>
  <si>
    <t>SEM RLT E SEM SCHUR</t>
  </si>
  <si>
    <t>SEM RLT COM SCHUR</t>
  </si>
  <si>
    <t>name</t>
  </si>
  <si>
    <t>n</t>
  </si>
  <si>
    <t>K</t>
  </si>
  <si>
    <t>lbroot</t>
  </si>
  <si>
    <t>troot</t>
  </si>
  <si>
    <t>ub_root</t>
  </si>
  <si>
    <t>ubbb</t>
  </si>
  <si>
    <t>lbbb</t>
  </si>
  <si>
    <t>tbb</t>
  </si>
  <si>
    <t>nodes</t>
  </si>
  <si>
    <t>gap BB</t>
  </si>
  <si>
    <t>lb cvxpy</t>
  </si>
  <si>
    <t>tcvxpy</t>
  </si>
  <si>
    <t>1011EuclS,txt</t>
  </si>
  <si>
    <t>1111EuclS,txt</t>
  </si>
  <si>
    <t>111EuclS,txt</t>
  </si>
  <si>
    <t>1211EuclS,txt</t>
  </si>
  <si>
    <t>1311EuclS,txt</t>
  </si>
  <si>
    <t>1411EuclS,txt</t>
  </si>
  <si>
    <t>1511EuclS,txt</t>
  </si>
  <si>
    <t>1611EuclS,txt</t>
  </si>
  <si>
    <t>1711EuclS,txt</t>
  </si>
  <si>
    <t>1811EuclS,txt</t>
  </si>
  <si>
    <t>1911EuclS,txt</t>
  </si>
  <si>
    <t>2011EuclS,txt</t>
  </si>
  <si>
    <t>2111EuclS,txt</t>
  </si>
  <si>
    <t>211EuclS,txt</t>
  </si>
  <si>
    <t>2211EuclS,txt</t>
  </si>
  <si>
    <t>2311EuclS,txt</t>
  </si>
  <si>
    <t>2411EuclS,txt</t>
  </si>
  <si>
    <t>2511EuclS,txt</t>
  </si>
  <si>
    <t>2611EuclS,txt</t>
  </si>
  <si>
    <t>2711EuclS,txt</t>
  </si>
  <si>
    <t>2811EuclS,txt</t>
  </si>
  <si>
    <t>2911EuclS,txt</t>
  </si>
  <si>
    <t>3011EuclS,txt</t>
  </si>
  <si>
    <t>311EuclS,txt</t>
  </si>
  <si>
    <t>411EuclS,txt</t>
  </si>
  <si>
    <t>511EuclS,txt</t>
  </si>
  <si>
    <t>611EuclS,txt</t>
  </si>
  <si>
    <t>711EuclS,txt</t>
  </si>
  <si>
    <t>811EuclS,txt</t>
  </si>
  <si>
    <t>911EuclS,txt</t>
  </si>
  <si>
    <t>-inf</t>
  </si>
  <si>
    <t>N</t>
  </si>
  <si>
    <t>id</t>
  </si>
  <si>
    <t>gap_BB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</si>
</sst>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4">
      <c r="U4" s="1" t="s">
        <v>1</v>
      </c>
      <c r="X4" s="1" t="s">
        <v>2</v>
      </c>
    </row>
    <row r="5">
      <c r="A5" s="2"/>
      <c r="B5" s="2"/>
      <c r="C5" s="2"/>
      <c r="D5" s="3" t="s">
        <v>3</v>
      </c>
      <c r="E5" s="3" t="s">
        <v>4</v>
      </c>
      <c r="F5" s="3" t="s">
        <v>5</v>
      </c>
      <c r="G5" s="4"/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/>
      <c r="Q5" s="3" t="s">
        <v>14</v>
      </c>
      <c r="R5" s="4"/>
      <c r="S5" s="3" t="s">
        <v>15</v>
      </c>
      <c r="T5" s="2"/>
      <c r="U5" s="3" t="s">
        <v>14</v>
      </c>
      <c r="V5" s="3" t="s">
        <v>15</v>
      </c>
      <c r="X5" s="3" t="s">
        <v>14</v>
      </c>
      <c r="Y5" s="3" t="s">
        <v>15</v>
      </c>
      <c r="Z5" s="3"/>
      <c r="AA5" s="3"/>
      <c r="AB5" s="3"/>
      <c r="AC5" s="3"/>
      <c r="AD5" s="3"/>
      <c r="AE5" s="3"/>
      <c r="AF5" s="3"/>
      <c r="AG5" s="3"/>
      <c r="AH5" s="3"/>
    </row>
    <row r="6">
      <c r="D6" s="1" t="s">
        <v>16</v>
      </c>
      <c r="E6" s="1">
        <v>60.0</v>
      </c>
      <c r="F6" s="1">
        <v>15.0</v>
      </c>
      <c r="H6" s="1">
        <v>231357.085586814</v>
      </c>
      <c r="I6" s="1">
        <v>5.08942651748657</v>
      </c>
      <c r="J6" s="1">
        <v>264580.0</v>
      </c>
      <c r="K6" s="1">
        <v>264091.0</v>
      </c>
      <c r="L6" s="1">
        <v>264091.0</v>
      </c>
      <c r="M6" s="1">
        <v>20.659455537796</v>
      </c>
      <c r="N6" s="1">
        <v>2087.0</v>
      </c>
      <c r="O6" s="5">
        <f t="shared" ref="O6:O35" si="1">100*(K6-L6)/K6</f>
        <v>0</v>
      </c>
      <c r="Q6" s="1">
        <v>231528.919051255</v>
      </c>
      <c r="S6" s="1">
        <v>28.3165686130523</v>
      </c>
      <c r="U6" s="1">
        <v>71403.0193473802</v>
      </c>
      <c r="V6" s="1">
        <v>2.43038392066955</v>
      </c>
      <c r="X6" s="1">
        <v>227762.984709557</v>
      </c>
      <c r="Y6" s="1">
        <v>8.77235603332519</v>
      </c>
      <c r="Z6" s="1"/>
      <c r="AA6" s="1"/>
      <c r="AB6" s="1"/>
      <c r="AC6" s="1"/>
      <c r="AD6" s="1"/>
      <c r="AE6" s="1"/>
      <c r="AF6" s="1"/>
      <c r="AG6" s="1"/>
      <c r="AH6" s="1"/>
    </row>
    <row r="7">
      <c r="D7" s="1" t="s">
        <v>17</v>
      </c>
      <c r="E7" s="1">
        <v>60.0</v>
      </c>
      <c r="F7" s="1">
        <v>15.0</v>
      </c>
      <c r="H7" s="1">
        <v>244114.084325626</v>
      </c>
      <c r="I7" s="1">
        <v>5.10331058502197</v>
      </c>
      <c r="J7" s="1">
        <v>315571.0</v>
      </c>
      <c r="K7" s="1">
        <v>304630.0</v>
      </c>
      <c r="L7" s="1">
        <v>304630.0</v>
      </c>
      <c r="M7" s="1">
        <v>29.6870675086975</v>
      </c>
      <c r="N7" s="1">
        <v>3407.0</v>
      </c>
      <c r="O7" s="5">
        <f t="shared" si="1"/>
        <v>0</v>
      </c>
      <c r="Q7" s="1">
        <v>244223.527907034</v>
      </c>
      <c r="S7" s="1">
        <v>9.73395752906799</v>
      </c>
      <c r="U7" s="1">
        <v>72356.0042300496</v>
      </c>
      <c r="V7" s="1">
        <v>6.0058798789978</v>
      </c>
      <c r="X7" s="1">
        <v>242349.082505711</v>
      </c>
      <c r="Y7" s="1">
        <v>5.27433109283447</v>
      </c>
      <c r="Z7" s="1"/>
      <c r="AA7" s="1"/>
      <c r="AB7" s="1"/>
      <c r="AC7" s="1"/>
      <c r="AD7" s="1"/>
      <c r="AE7" s="1"/>
      <c r="AF7" s="1"/>
      <c r="AG7" s="1"/>
      <c r="AH7" s="1"/>
    </row>
    <row r="8">
      <c r="D8" s="1" t="s">
        <v>18</v>
      </c>
      <c r="E8" s="1">
        <v>60.0</v>
      </c>
      <c r="F8" s="1">
        <v>15.0</v>
      </c>
      <c r="H8" s="1">
        <v>227311.418378526</v>
      </c>
      <c r="I8" s="1">
        <v>5.1361768245697</v>
      </c>
      <c r="J8" s="1">
        <v>270193.0</v>
      </c>
      <c r="K8" s="1">
        <v>269079.0</v>
      </c>
      <c r="L8" s="1">
        <v>269079.0</v>
      </c>
      <c r="M8" s="1">
        <v>55.2012939453125</v>
      </c>
      <c r="N8" s="1">
        <v>6635.0</v>
      </c>
      <c r="O8" s="5">
        <f t="shared" si="1"/>
        <v>0</v>
      </c>
      <c r="Q8" s="1">
        <v>227480.832541768</v>
      </c>
      <c r="S8" s="1">
        <v>18.4624834060668</v>
      </c>
      <c r="U8" s="1">
        <v>71555.9454094921</v>
      </c>
      <c r="V8" s="1">
        <v>2.47761893272399</v>
      </c>
      <c r="X8" s="1">
        <v>223811.679596987</v>
      </c>
      <c r="Y8" s="1">
        <v>7.81140708923339</v>
      </c>
      <c r="Z8" s="1"/>
      <c r="AA8" s="1"/>
      <c r="AB8" s="1"/>
      <c r="AC8" s="1"/>
      <c r="AD8" s="1"/>
      <c r="AE8" s="1"/>
      <c r="AF8" s="1"/>
      <c r="AG8" s="1"/>
      <c r="AH8" s="1"/>
    </row>
    <row r="9">
      <c r="D9" s="1" t="s">
        <v>19</v>
      </c>
      <c r="E9" s="1">
        <v>60.0</v>
      </c>
      <c r="F9" s="1">
        <v>15.0</v>
      </c>
      <c r="H9" s="1">
        <v>246068.978063168</v>
      </c>
      <c r="I9" s="1">
        <v>5.20448613166809</v>
      </c>
      <c r="J9" s="1">
        <v>327444.999999999</v>
      </c>
      <c r="K9" s="1">
        <v>293724.999999999</v>
      </c>
      <c r="L9" s="1">
        <v>293724.999999999</v>
      </c>
      <c r="M9" s="1">
        <v>95.4262869358062</v>
      </c>
      <c r="N9" s="1">
        <v>10921.0</v>
      </c>
      <c r="O9" s="5">
        <f t="shared" si="1"/>
        <v>0</v>
      </c>
      <c r="Q9" s="1">
        <v>246241.683507165</v>
      </c>
      <c r="S9" s="1">
        <v>20.2541682720184</v>
      </c>
      <c r="U9" s="1">
        <v>71428.992879314</v>
      </c>
      <c r="V9" s="1">
        <v>2.61059665679931</v>
      </c>
      <c r="X9" s="1">
        <v>243400.294255354</v>
      </c>
      <c r="Y9" s="1">
        <v>10.9347369670867</v>
      </c>
      <c r="Z9" s="1"/>
      <c r="AA9" s="1"/>
      <c r="AB9" s="1"/>
      <c r="AC9" s="1"/>
      <c r="AD9" s="1"/>
      <c r="AE9" s="1"/>
      <c r="AF9" s="1"/>
      <c r="AG9" s="1"/>
      <c r="AH9" s="1"/>
    </row>
    <row r="10">
      <c r="D10" s="1" t="s">
        <v>20</v>
      </c>
      <c r="E10" s="1">
        <v>60.0</v>
      </c>
      <c r="F10" s="1">
        <v>15.0</v>
      </c>
      <c r="H10" s="1">
        <v>245732.581423583</v>
      </c>
      <c r="I10" s="1">
        <v>5.12307143211364</v>
      </c>
      <c r="J10" s="1">
        <v>311317.999999999</v>
      </c>
      <c r="K10" s="1">
        <v>283361.0</v>
      </c>
      <c r="L10" s="1">
        <v>283361.0</v>
      </c>
      <c r="M10" s="1">
        <v>29.3401572704315</v>
      </c>
      <c r="N10" s="1">
        <v>3095.0</v>
      </c>
      <c r="O10" s="5">
        <f t="shared" si="1"/>
        <v>0</v>
      </c>
      <c r="Q10" s="1">
        <v>245904.805418842</v>
      </c>
      <c r="S10" s="1">
        <v>26.8589286804199</v>
      </c>
      <c r="U10" s="1">
        <v>74681.1531543585</v>
      </c>
      <c r="V10" s="1">
        <v>2.8974609375</v>
      </c>
      <c r="X10" s="1">
        <v>242864.318112253</v>
      </c>
      <c r="Y10" s="1">
        <v>9.20137691497802</v>
      </c>
      <c r="Z10" s="1"/>
      <c r="AA10" s="1"/>
      <c r="AB10" s="1"/>
      <c r="AC10" s="1"/>
      <c r="AD10" s="1"/>
      <c r="AE10" s="1"/>
      <c r="AF10" s="1"/>
      <c r="AG10" s="1"/>
      <c r="AH10" s="1"/>
    </row>
    <row r="11">
      <c r="D11" s="1" t="s">
        <v>21</v>
      </c>
      <c r="E11" s="1">
        <v>60.0</v>
      </c>
      <c r="F11" s="1">
        <v>15.0</v>
      </c>
      <c r="H11" s="1">
        <v>242164.074144162</v>
      </c>
      <c r="I11" s="1">
        <v>5.12311482429504</v>
      </c>
      <c r="J11" s="1">
        <v>308492.0</v>
      </c>
      <c r="K11" s="1">
        <v>290794.0</v>
      </c>
      <c r="L11" s="1">
        <v>290794.0</v>
      </c>
      <c r="M11" s="1">
        <v>65.2491176128387</v>
      </c>
      <c r="N11" s="1">
        <v>8073.0</v>
      </c>
      <c r="O11" s="5">
        <f t="shared" si="1"/>
        <v>0</v>
      </c>
      <c r="Q11" s="1">
        <v>242315.839311841</v>
      </c>
      <c r="S11" s="1">
        <v>29.5913679599761</v>
      </c>
      <c r="U11" s="1">
        <v>72461.992227568</v>
      </c>
      <c r="V11" s="1">
        <v>3.02030277252197</v>
      </c>
      <c r="X11" s="1">
        <v>238417.209551115</v>
      </c>
      <c r="Y11" s="1">
        <v>9.1308753490448</v>
      </c>
      <c r="Z11" s="1"/>
      <c r="AA11" s="1"/>
      <c r="AB11" s="1"/>
      <c r="AC11" s="1"/>
      <c r="AD11" s="1"/>
      <c r="AE11" s="1"/>
      <c r="AF11" s="1"/>
      <c r="AG11" s="1"/>
      <c r="AH11" s="1"/>
    </row>
    <row r="12">
      <c r="D12" s="1" t="s">
        <v>22</v>
      </c>
      <c r="E12" s="1">
        <v>60.0</v>
      </c>
      <c r="F12" s="1">
        <v>15.0</v>
      </c>
      <c r="H12" s="1">
        <v>243994.519423133</v>
      </c>
      <c r="I12" s="1">
        <v>5.26012110710144</v>
      </c>
      <c r="J12" s="1">
        <v>325934.0</v>
      </c>
      <c r="K12" s="1">
        <v>300746.0</v>
      </c>
      <c r="L12" s="1">
        <v>300746.0</v>
      </c>
      <c r="M12" s="1">
        <v>69.8223149776458</v>
      </c>
      <c r="N12" s="1">
        <v>8401.0</v>
      </c>
      <c r="O12" s="5">
        <f t="shared" si="1"/>
        <v>0</v>
      </c>
      <c r="Q12" s="1">
        <v>244131.24463338</v>
      </c>
      <c r="S12" s="1">
        <v>22.1700701713562</v>
      </c>
      <c r="U12" s="1">
        <v>72470.0040289536</v>
      </c>
      <c r="V12" s="1">
        <v>2.3631157875061</v>
      </c>
      <c r="X12" s="1">
        <v>241905.829662347</v>
      </c>
      <c r="Y12" s="1">
        <v>5.10989332199096</v>
      </c>
      <c r="Z12" s="1"/>
      <c r="AA12" s="1"/>
      <c r="AB12" s="1"/>
      <c r="AC12" s="1"/>
      <c r="AD12" s="1"/>
      <c r="AE12" s="1"/>
      <c r="AF12" s="1"/>
      <c r="AG12" s="1"/>
      <c r="AH12" s="1"/>
    </row>
    <row r="13">
      <c r="D13" s="1" t="s">
        <v>23</v>
      </c>
      <c r="E13" s="1">
        <v>60.0</v>
      </c>
      <c r="F13" s="1">
        <v>15.0</v>
      </c>
      <c r="H13" s="1">
        <v>235260.829209322</v>
      </c>
      <c r="I13" s="1">
        <v>5.11699628829956</v>
      </c>
      <c r="J13" s="1">
        <v>304924.0</v>
      </c>
      <c r="K13" s="1">
        <v>302692.0</v>
      </c>
      <c r="L13" s="1">
        <v>302692.0</v>
      </c>
      <c r="M13" s="1">
        <v>53.5954916477203</v>
      </c>
      <c r="N13" s="1">
        <v>6573.0</v>
      </c>
      <c r="O13" s="5">
        <f t="shared" si="1"/>
        <v>0</v>
      </c>
      <c r="Q13" s="1">
        <v>235401.397838449</v>
      </c>
      <c r="S13" s="1">
        <v>17.9859750270843</v>
      </c>
      <c r="U13" s="1">
        <v>71585.0001086355</v>
      </c>
      <c r="V13" s="1">
        <v>2.44029450416564</v>
      </c>
      <c r="X13" s="1">
        <v>233927.087958499</v>
      </c>
      <c r="Y13" s="1">
        <v>4.49695014953613</v>
      </c>
      <c r="Z13" s="1"/>
      <c r="AA13" s="1"/>
      <c r="AB13" s="1"/>
      <c r="AC13" s="1"/>
      <c r="AD13" s="1"/>
      <c r="AE13" s="1"/>
      <c r="AF13" s="1"/>
      <c r="AG13" s="1"/>
      <c r="AH13" s="1"/>
    </row>
    <row r="14">
      <c r="D14" s="1" t="s">
        <v>24</v>
      </c>
      <c r="E14" s="1">
        <v>60.0</v>
      </c>
      <c r="F14" s="1">
        <v>15.0</v>
      </c>
      <c r="H14" s="1">
        <v>255583.655756953</v>
      </c>
      <c r="I14" s="1">
        <v>5.12011647224426</v>
      </c>
      <c r="J14" s="1">
        <v>329228.999999999</v>
      </c>
      <c r="K14" s="1">
        <v>295248.999999999</v>
      </c>
      <c r="L14" s="1">
        <v>295248.999999999</v>
      </c>
      <c r="M14" s="1">
        <v>44.8909876346588</v>
      </c>
      <c r="N14" s="1">
        <v>4983.0</v>
      </c>
      <c r="O14" s="5">
        <f t="shared" si="1"/>
        <v>0</v>
      </c>
      <c r="Q14" s="1">
        <v>255752.667071357</v>
      </c>
      <c r="S14" s="1">
        <v>15.0101528167724</v>
      </c>
      <c r="U14" s="1">
        <v>72065.9995758387</v>
      </c>
      <c r="V14" s="1">
        <v>2.2568085193634</v>
      </c>
      <c r="X14" s="1">
        <v>253411.614108297</v>
      </c>
      <c r="Y14" s="1">
        <v>9.62528538703918</v>
      </c>
      <c r="Z14" s="1"/>
      <c r="AA14" s="1"/>
      <c r="AB14" s="1"/>
      <c r="AC14" s="1"/>
      <c r="AD14" s="1"/>
      <c r="AE14" s="1"/>
      <c r="AF14" s="1"/>
      <c r="AG14" s="1"/>
      <c r="AH14" s="1"/>
    </row>
    <row r="15">
      <c r="D15" s="1" t="s">
        <v>25</v>
      </c>
      <c r="E15" s="1">
        <v>60.0</v>
      </c>
      <c r="F15" s="1">
        <v>15.0</v>
      </c>
      <c r="H15" s="1">
        <v>262528.76855082</v>
      </c>
      <c r="I15" s="1">
        <v>5.11637234687805</v>
      </c>
      <c r="J15" s="1">
        <v>369033.0</v>
      </c>
      <c r="K15" s="1">
        <v>317131.0</v>
      </c>
      <c r="L15" s="1">
        <v>317131.0</v>
      </c>
      <c r="M15" s="1">
        <v>84.5941593647003</v>
      </c>
      <c r="N15" s="1">
        <v>9751.0</v>
      </c>
      <c r="O15" s="5">
        <f t="shared" si="1"/>
        <v>0</v>
      </c>
      <c r="Q15" s="1">
        <v>262701.790715769</v>
      </c>
      <c r="S15" s="1">
        <v>24.8036749362945</v>
      </c>
      <c r="U15" s="1">
        <v>73501.0115309065</v>
      </c>
      <c r="V15" s="1">
        <v>2.21100687980651</v>
      </c>
      <c r="X15" s="1">
        <v>259888.832901799</v>
      </c>
      <c r="Y15" s="1">
        <v>7.30052900314331</v>
      </c>
      <c r="Z15" s="1"/>
      <c r="AA15" s="1"/>
      <c r="AB15" s="1"/>
      <c r="AC15" s="1"/>
      <c r="AD15" s="1"/>
      <c r="AE15" s="1"/>
      <c r="AF15" s="1"/>
      <c r="AG15" s="1"/>
      <c r="AH15" s="1"/>
    </row>
    <row r="16">
      <c r="D16" s="1" t="s">
        <v>26</v>
      </c>
      <c r="E16" s="1">
        <v>60.0</v>
      </c>
      <c r="F16" s="1">
        <v>15.0</v>
      </c>
      <c r="H16" s="1">
        <v>261479.180113355</v>
      </c>
      <c r="I16" s="1">
        <v>5.10609984397888</v>
      </c>
      <c r="J16" s="1">
        <v>341497.999999999</v>
      </c>
      <c r="K16" s="1">
        <v>304867.999999999</v>
      </c>
      <c r="L16" s="1">
        <v>304867.999999999</v>
      </c>
      <c r="M16" s="1">
        <v>61.7491896152496</v>
      </c>
      <c r="N16" s="1">
        <v>7021.0</v>
      </c>
      <c r="O16" s="5">
        <f t="shared" si="1"/>
        <v>0</v>
      </c>
      <c r="Q16" s="1">
        <v>261646.071183637</v>
      </c>
      <c r="S16" s="1">
        <v>21.3714220523834</v>
      </c>
      <c r="U16" s="1">
        <v>74624.9998618701</v>
      </c>
      <c r="V16" s="1">
        <v>2.25078558921813</v>
      </c>
      <c r="X16" s="1">
        <v>258843.264670923</v>
      </c>
      <c r="Y16" s="1">
        <v>17.0234532356262</v>
      </c>
      <c r="Z16" s="1"/>
      <c r="AA16" s="1"/>
      <c r="AB16" s="1"/>
      <c r="AC16" s="1"/>
      <c r="AD16" s="1"/>
      <c r="AE16" s="1"/>
      <c r="AF16" s="1"/>
      <c r="AG16" s="1"/>
      <c r="AH16" s="1"/>
    </row>
    <row r="17">
      <c r="D17" s="1" t="s">
        <v>27</v>
      </c>
      <c r="E17" s="1">
        <v>60.0</v>
      </c>
      <c r="F17" s="1">
        <v>15.0</v>
      </c>
      <c r="H17" s="1">
        <v>258186.272622228</v>
      </c>
      <c r="I17" s="1">
        <v>5.23038530349731</v>
      </c>
      <c r="J17" s="1">
        <v>348977.0</v>
      </c>
      <c r="K17" s="1">
        <v>309393.999999999</v>
      </c>
      <c r="L17" s="1">
        <v>309393.999999999</v>
      </c>
      <c r="M17" s="1">
        <v>93.6200742721557</v>
      </c>
      <c r="N17" s="1">
        <v>10679.0</v>
      </c>
      <c r="O17" s="5">
        <f t="shared" si="1"/>
        <v>0</v>
      </c>
      <c r="Q17" s="1">
        <v>258354.620358469</v>
      </c>
      <c r="S17" s="1">
        <v>14.6307809352874</v>
      </c>
      <c r="U17" s="1">
        <v>73072.0316391623</v>
      </c>
      <c r="V17" s="1">
        <v>2.48003506660461</v>
      </c>
      <c r="X17" s="1">
        <v>254567.518557882</v>
      </c>
      <c r="Y17" s="1">
        <v>9.32232522964477</v>
      </c>
      <c r="Z17" s="1"/>
      <c r="AA17" s="1"/>
      <c r="AB17" s="1"/>
      <c r="AC17" s="1"/>
      <c r="AD17" s="1"/>
      <c r="AE17" s="1"/>
      <c r="AF17" s="1"/>
      <c r="AG17" s="1"/>
      <c r="AH17" s="1"/>
    </row>
    <row r="18">
      <c r="D18" s="1" t="s">
        <v>28</v>
      </c>
      <c r="E18" s="1">
        <v>60.0</v>
      </c>
      <c r="F18" s="1">
        <v>15.0</v>
      </c>
      <c r="H18" s="1">
        <v>248033.741224871</v>
      </c>
      <c r="I18" s="1">
        <v>5.12595677375793</v>
      </c>
      <c r="J18" s="1">
        <v>328069.999999999</v>
      </c>
      <c r="K18" s="1">
        <v>284507.0</v>
      </c>
      <c r="L18" s="1">
        <v>284507.0</v>
      </c>
      <c r="M18" s="1">
        <v>27.6155571937561</v>
      </c>
      <c r="N18" s="1">
        <v>2917.0</v>
      </c>
      <c r="O18" s="5">
        <f t="shared" si="1"/>
        <v>0</v>
      </c>
      <c r="Q18" s="1">
        <v>248208.753708317</v>
      </c>
      <c r="S18" s="1">
        <v>22.906925201416</v>
      </c>
      <c r="U18" s="1">
        <v>71471.0029887439</v>
      </c>
      <c r="V18" s="1">
        <v>2.48374056816101</v>
      </c>
      <c r="X18" s="1">
        <v>245096.353152777</v>
      </c>
      <c r="Y18" s="1">
        <v>9.60795927047729</v>
      </c>
      <c r="Z18" s="1"/>
      <c r="AA18" s="1"/>
      <c r="AB18" s="1"/>
      <c r="AC18" s="1"/>
      <c r="AD18" s="1"/>
      <c r="AE18" s="1"/>
      <c r="AF18" s="1"/>
      <c r="AG18" s="1"/>
      <c r="AH18" s="1"/>
    </row>
    <row r="19">
      <c r="D19" s="1" t="s">
        <v>29</v>
      </c>
      <c r="E19" s="1">
        <v>60.0</v>
      </c>
      <c r="F19" s="1">
        <v>15.0</v>
      </c>
      <c r="H19" s="1">
        <v>242748.009444313</v>
      </c>
      <c r="I19" s="1">
        <v>5.11930346488952</v>
      </c>
      <c r="J19" s="1">
        <v>328265.0</v>
      </c>
      <c r="K19" s="1">
        <v>294033.999999999</v>
      </c>
      <c r="L19" s="1">
        <v>294033.999999999</v>
      </c>
      <c r="M19" s="1">
        <v>159.387339830398</v>
      </c>
      <c r="N19" s="1">
        <v>17977.0</v>
      </c>
      <c r="O19" s="5">
        <f t="shared" si="1"/>
        <v>0</v>
      </c>
      <c r="Q19" s="1">
        <v>242930.485226108</v>
      </c>
      <c r="S19" s="1">
        <v>16.3836648464202</v>
      </c>
      <c r="U19" s="1">
        <v>69734.0462550736</v>
      </c>
      <c r="V19" s="1">
        <v>2.59786248207092</v>
      </c>
      <c r="X19" s="1">
        <v>239811.690064265</v>
      </c>
      <c r="Y19" s="1">
        <v>11.3529088497161</v>
      </c>
      <c r="Z19" s="1"/>
      <c r="AA19" s="1"/>
      <c r="AB19" s="1"/>
      <c r="AC19" s="1"/>
      <c r="AD19" s="1"/>
      <c r="AE19" s="1"/>
      <c r="AF19" s="1"/>
      <c r="AG19" s="1"/>
      <c r="AH19" s="1"/>
    </row>
    <row r="20">
      <c r="D20" s="1" t="s">
        <v>30</v>
      </c>
      <c r="E20" s="1">
        <v>60.0</v>
      </c>
      <c r="F20" s="1">
        <v>15.0</v>
      </c>
      <c r="H20" s="1">
        <v>266039.874107672</v>
      </c>
      <c r="I20" s="1">
        <v>5.10449647903442</v>
      </c>
      <c r="J20" s="1">
        <v>354286.0</v>
      </c>
      <c r="K20" s="1">
        <v>317804.0</v>
      </c>
      <c r="L20" s="1">
        <v>317804.0</v>
      </c>
      <c r="M20" s="1">
        <v>78.0957870483398</v>
      </c>
      <c r="N20" s="1">
        <v>8957.0</v>
      </c>
      <c r="O20" s="5">
        <f t="shared" si="1"/>
        <v>0</v>
      </c>
      <c r="Q20" s="1">
        <v>266216.552296305</v>
      </c>
      <c r="S20" s="1">
        <v>20.9206554889678</v>
      </c>
      <c r="U20" s="1">
        <v>73490.0025739804</v>
      </c>
      <c r="V20" s="1">
        <v>2.45078587532043</v>
      </c>
      <c r="X20" s="1">
        <v>263820.147946356</v>
      </c>
      <c r="Y20" s="1">
        <v>17.9271388053894</v>
      </c>
      <c r="Z20" s="1"/>
      <c r="AA20" s="1"/>
      <c r="AB20" s="1"/>
      <c r="AC20" s="1"/>
      <c r="AD20" s="1"/>
      <c r="AE20" s="1"/>
      <c r="AF20" s="1"/>
      <c r="AG20" s="1"/>
      <c r="AH20" s="1"/>
    </row>
    <row r="21">
      <c r="D21" s="1" t="s">
        <v>31</v>
      </c>
      <c r="E21" s="1">
        <v>60.0</v>
      </c>
      <c r="F21" s="1">
        <v>15.0</v>
      </c>
      <c r="H21" s="1">
        <v>252269.563073778</v>
      </c>
      <c r="I21" s="1">
        <v>5.12287402153015</v>
      </c>
      <c r="J21" s="1">
        <v>313934.0</v>
      </c>
      <c r="K21" s="1">
        <v>300874.0</v>
      </c>
      <c r="L21" s="1">
        <v>300874.0</v>
      </c>
      <c r="M21" s="1">
        <v>13.2829608917236</v>
      </c>
      <c r="N21" s="1">
        <v>1107.0</v>
      </c>
      <c r="O21" s="5">
        <f t="shared" si="1"/>
        <v>0</v>
      </c>
      <c r="Q21" s="1">
        <v>252424.965661834</v>
      </c>
      <c r="S21" s="1">
        <v>16.9230029582977</v>
      </c>
      <c r="U21" s="1">
        <v>74111.99435806</v>
      </c>
      <c r="V21" s="1">
        <v>2.35903429985046</v>
      </c>
      <c r="X21" s="1">
        <v>250224.725175646</v>
      </c>
      <c r="Y21" s="1">
        <v>10.3389880657196</v>
      </c>
      <c r="Z21" s="1"/>
      <c r="AA21" s="1"/>
      <c r="AB21" s="1"/>
      <c r="AC21" s="1"/>
      <c r="AD21" s="1"/>
      <c r="AE21" s="1"/>
      <c r="AF21" s="1"/>
      <c r="AG21" s="1"/>
      <c r="AH21" s="1"/>
    </row>
    <row r="22">
      <c r="D22" s="1" t="s">
        <v>32</v>
      </c>
      <c r="E22" s="1">
        <v>60.0</v>
      </c>
      <c r="F22" s="1">
        <v>15.0</v>
      </c>
      <c r="H22" s="1">
        <v>260097.786429954</v>
      </c>
      <c r="I22" s="1">
        <v>5.14925956726074</v>
      </c>
      <c r="J22" s="1">
        <v>325348.0</v>
      </c>
      <c r="K22" s="1">
        <v>305011.0</v>
      </c>
      <c r="L22" s="1">
        <v>305011.0</v>
      </c>
      <c r="M22" s="1">
        <v>34.5347888469696</v>
      </c>
      <c r="N22" s="1">
        <v>3761.0</v>
      </c>
      <c r="O22" s="5">
        <f t="shared" si="1"/>
        <v>0</v>
      </c>
      <c r="Q22" s="1">
        <v>260280.228228393</v>
      </c>
      <c r="S22" s="1">
        <v>34.5111179351806</v>
      </c>
      <c r="U22" s="1">
        <v>73577.0053073534</v>
      </c>
      <c r="V22" s="1">
        <v>2.29317712783813</v>
      </c>
      <c r="X22" s="1">
        <v>257272.583897704</v>
      </c>
      <c r="Y22" s="1">
        <v>11.4050257205963</v>
      </c>
      <c r="Z22" s="1"/>
      <c r="AA22" s="1"/>
      <c r="AB22" s="1"/>
      <c r="AC22" s="1"/>
      <c r="AD22" s="1"/>
      <c r="AE22" s="1"/>
      <c r="AF22" s="1"/>
      <c r="AG22" s="1"/>
      <c r="AH22" s="1"/>
    </row>
    <row r="23">
      <c r="D23" s="1" t="s">
        <v>33</v>
      </c>
      <c r="E23" s="1">
        <v>60.0</v>
      </c>
      <c r="F23" s="1">
        <v>15.0</v>
      </c>
      <c r="H23" s="1">
        <v>266533.952492761</v>
      </c>
      <c r="I23" s="1">
        <v>5.15005421638488</v>
      </c>
      <c r="J23" s="1">
        <v>394217.999999999</v>
      </c>
      <c r="K23" s="1">
        <v>335260.0</v>
      </c>
      <c r="L23" s="1">
        <v>335260.0</v>
      </c>
      <c r="M23" s="1">
        <v>206.375562429428</v>
      </c>
      <c r="N23" s="1">
        <v>22773.0</v>
      </c>
      <c r="O23" s="5">
        <f t="shared" si="1"/>
        <v>0</v>
      </c>
      <c r="Q23" s="1">
        <v>266718.439064598</v>
      </c>
      <c r="S23" s="1">
        <v>17.0654697418212</v>
      </c>
      <c r="U23" s="1">
        <v>73031.0032982053</v>
      </c>
      <c r="V23" s="1">
        <v>2.25701022148132</v>
      </c>
      <c r="X23" s="1">
        <v>263760.06943495</v>
      </c>
      <c r="Y23" s="1">
        <v>10.4013104438781</v>
      </c>
      <c r="Z23" s="1"/>
      <c r="AA23" s="1"/>
      <c r="AB23" s="1"/>
      <c r="AC23" s="1"/>
      <c r="AD23" s="1"/>
      <c r="AE23" s="1"/>
      <c r="AF23" s="1"/>
      <c r="AG23" s="1"/>
      <c r="AH23" s="1"/>
    </row>
    <row r="24">
      <c r="D24" s="1" t="s">
        <v>34</v>
      </c>
      <c r="E24" s="1">
        <v>60.0</v>
      </c>
      <c r="F24" s="1">
        <v>15.0</v>
      </c>
      <c r="H24" s="1">
        <v>243448.956025664</v>
      </c>
      <c r="I24" s="1">
        <v>5.14702463150024</v>
      </c>
      <c r="J24" s="1">
        <v>330023.0</v>
      </c>
      <c r="K24" s="1">
        <v>289586.0</v>
      </c>
      <c r="L24" s="1">
        <v>289586.0</v>
      </c>
      <c r="M24" s="1">
        <v>14.0151500701904</v>
      </c>
      <c r="N24" s="1">
        <v>1189.0</v>
      </c>
      <c r="O24" s="5">
        <f t="shared" si="1"/>
        <v>0</v>
      </c>
      <c r="Q24" s="1">
        <v>243566.71587968</v>
      </c>
      <c r="S24" s="1">
        <v>10.6007590293884</v>
      </c>
      <c r="U24" s="1">
        <v>72228.0212187613</v>
      </c>
      <c r="V24" s="1">
        <v>2.30189728736877</v>
      </c>
      <c r="X24" s="1">
        <v>241673.689923716</v>
      </c>
      <c r="Y24" s="1">
        <v>8.1095335483551</v>
      </c>
      <c r="Z24" s="1"/>
      <c r="AA24" s="1"/>
      <c r="AB24" s="1"/>
      <c r="AC24" s="1"/>
      <c r="AD24" s="1"/>
      <c r="AE24" s="1"/>
      <c r="AF24" s="1"/>
      <c r="AG24" s="1"/>
      <c r="AH24" s="1"/>
    </row>
    <row r="25">
      <c r="D25" s="1" t="s">
        <v>35</v>
      </c>
      <c r="E25" s="1">
        <v>60.0</v>
      </c>
      <c r="F25" s="1">
        <v>15.0</v>
      </c>
      <c r="H25" s="1">
        <v>245143.129424186</v>
      </c>
      <c r="I25" s="1">
        <v>5.15432929992675</v>
      </c>
      <c r="J25" s="1">
        <v>309929.0</v>
      </c>
      <c r="K25" s="1">
        <v>289719.0</v>
      </c>
      <c r="L25" s="1">
        <v>289719.0</v>
      </c>
      <c r="M25" s="1">
        <v>42.4952278137207</v>
      </c>
      <c r="N25" s="1">
        <v>4737.0</v>
      </c>
      <c r="O25" s="5">
        <f t="shared" si="1"/>
        <v>0</v>
      </c>
      <c r="Q25" s="1">
        <v>245296.26796307</v>
      </c>
      <c r="S25" s="1">
        <v>21.3319203853607</v>
      </c>
      <c r="U25" s="1">
        <v>70273.9890699263</v>
      </c>
      <c r="V25" s="1">
        <v>2.28115510940551</v>
      </c>
      <c r="X25" s="1">
        <v>242472.925879856</v>
      </c>
      <c r="Y25" s="1">
        <v>10.1195385456085</v>
      </c>
      <c r="Z25" s="1"/>
      <c r="AA25" s="1"/>
      <c r="AB25" s="1"/>
      <c r="AC25" s="1"/>
      <c r="AD25" s="1"/>
      <c r="AE25" s="1"/>
      <c r="AF25" s="1"/>
      <c r="AG25" s="1"/>
      <c r="AH25" s="1"/>
    </row>
    <row r="26">
      <c r="D26" s="1" t="s">
        <v>36</v>
      </c>
      <c r="E26" s="1">
        <v>60.0</v>
      </c>
      <c r="F26" s="1">
        <v>15.0</v>
      </c>
      <c r="H26" s="1">
        <v>255320.129214615</v>
      </c>
      <c r="I26" s="1">
        <v>5.10993528366088</v>
      </c>
      <c r="J26" s="1">
        <v>305892.0</v>
      </c>
      <c r="K26" s="1">
        <v>282451.0</v>
      </c>
      <c r="L26" s="1">
        <v>282451.0</v>
      </c>
      <c r="M26" s="1">
        <v>8.64821910858154</v>
      </c>
      <c r="N26" s="1">
        <v>459.0</v>
      </c>
      <c r="O26" s="5">
        <f t="shared" si="1"/>
        <v>0</v>
      </c>
      <c r="Q26" s="1">
        <v>255482.02039602</v>
      </c>
      <c r="S26" s="1">
        <v>14.7492909431457</v>
      </c>
      <c r="U26" s="1">
        <v>73341.0130417023</v>
      </c>
      <c r="V26" s="1">
        <v>2.50540018081665</v>
      </c>
      <c r="X26" s="1">
        <v>252493.173204178</v>
      </c>
      <c r="Y26" s="1">
        <v>10.8653609752655</v>
      </c>
      <c r="Z26" s="1"/>
      <c r="AA26" s="1"/>
      <c r="AB26" s="1"/>
      <c r="AC26" s="1"/>
      <c r="AD26" s="1"/>
      <c r="AE26" s="1"/>
      <c r="AF26" s="1"/>
      <c r="AG26" s="1"/>
      <c r="AH26" s="1"/>
    </row>
    <row r="27">
      <c r="D27" s="1" t="s">
        <v>37</v>
      </c>
      <c r="E27" s="1">
        <v>60.0</v>
      </c>
      <c r="F27" s="1">
        <v>15.0</v>
      </c>
      <c r="H27" s="1">
        <v>263289.554929997</v>
      </c>
      <c r="I27" s="1">
        <v>5.13673853874206</v>
      </c>
      <c r="J27" s="1">
        <v>356177.0</v>
      </c>
      <c r="K27" s="1">
        <v>305112.999999999</v>
      </c>
      <c r="L27" s="1">
        <v>305112.999999999</v>
      </c>
      <c r="M27" s="1">
        <v>28.5123527050018</v>
      </c>
      <c r="N27" s="1">
        <v>2971.0</v>
      </c>
      <c r="O27" s="5">
        <f t="shared" si="1"/>
        <v>0</v>
      </c>
      <c r="Q27" s="1">
        <v>263475.647483959</v>
      </c>
      <c r="S27" s="1">
        <v>25.4393398761749</v>
      </c>
      <c r="U27" s="1">
        <v>75665.9992384523</v>
      </c>
      <c r="V27" s="1">
        <v>2.729412317276</v>
      </c>
      <c r="X27" s="1">
        <v>260458.641943649</v>
      </c>
      <c r="Y27" s="1">
        <v>5.83497142791748</v>
      </c>
      <c r="Z27" s="1"/>
      <c r="AA27" s="1"/>
      <c r="AB27" s="1"/>
      <c r="AC27" s="1"/>
      <c r="AD27" s="1"/>
      <c r="AE27" s="1"/>
      <c r="AF27" s="1"/>
      <c r="AG27" s="1"/>
      <c r="AH27" s="1"/>
    </row>
    <row r="28">
      <c r="D28" s="1" t="s">
        <v>38</v>
      </c>
      <c r="E28" s="1">
        <v>60.0</v>
      </c>
      <c r="F28" s="1">
        <v>15.0</v>
      </c>
      <c r="H28" s="1">
        <v>235322.451698422</v>
      </c>
      <c r="I28" s="1">
        <v>5.10330200195312</v>
      </c>
      <c r="J28" s="1">
        <v>285098.0</v>
      </c>
      <c r="K28" s="1">
        <v>274177.0</v>
      </c>
      <c r="L28" s="1">
        <v>274177.0</v>
      </c>
      <c r="M28" s="1">
        <v>32.5317912101745</v>
      </c>
      <c r="N28" s="1">
        <v>3689.0</v>
      </c>
      <c r="O28" s="5">
        <f t="shared" si="1"/>
        <v>0</v>
      </c>
      <c r="Q28" s="1">
        <v>235501.151151448</v>
      </c>
      <c r="S28" s="1">
        <v>33.5954887866973</v>
      </c>
      <c r="U28" s="1">
        <v>71114.1026212</v>
      </c>
      <c r="V28" s="1">
        <v>2.44835257530212</v>
      </c>
      <c r="X28" s="1">
        <v>231547.15100577</v>
      </c>
      <c r="Y28" s="1">
        <v>4.44030570983886</v>
      </c>
      <c r="Z28" s="1"/>
      <c r="AA28" s="1"/>
      <c r="AB28" s="1"/>
      <c r="AC28" s="1"/>
      <c r="AD28" s="1"/>
      <c r="AE28" s="1"/>
      <c r="AF28" s="1"/>
      <c r="AG28" s="1"/>
      <c r="AH28" s="1"/>
    </row>
    <row r="29">
      <c r="D29" s="1" t="s">
        <v>39</v>
      </c>
      <c r="E29" s="1">
        <v>60.0</v>
      </c>
      <c r="F29" s="1">
        <v>15.0</v>
      </c>
      <c r="H29" s="1">
        <v>251604.824058307</v>
      </c>
      <c r="I29" s="1">
        <v>5.14645910263061</v>
      </c>
      <c r="J29" s="1">
        <v>318622.0</v>
      </c>
      <c r="K29" s="1">
        <v>301754.0</v>
      </c>
      <c r="L29" s="1">
        <v>301754.0</v>
      </c>
      <c r="M29" s="1">
        <v>63.2611329555511</v>
      </c>
      <c r="N29" s="1">
        <v>7451.0</v>
      </c>
      <c r="O29" s="5">
        <f t="shared" si="1"/>
        <v>0</v>
      </c>
      <c r="Q29" s="1">
        <v>251772.114075092</v>
      </c>
      <c r="S29" s="1">
        <v>29.5935766696929</v>
      </c>
      <c r="U29" s="1">
        <v>70214.0954292934</v>
      </c>
      <c r="V29" s="1">
        <v>2.35285854339599</v>
      </c>
      <c r="X29" s="1">
        <v>246555.437168166</v>
      </c>
      <c r="Y29" s="1">
        <v>4.13588690757751</v>
      </c>
      <c r="Z29" s="1"/>
      <c r="AA29" s="1"/>
      <c r="AB29" s="1"/>
      <c r="AC29" s="1"/>
      <c r="AD29" s="1"/>
      <c r="AE29" s="1"/>
      <c r="AF29" s="1"/>
      <c r="AG29" s="1"/>
      <c r="AH29" s="1"/>
    </row>
    <row r="30">
      <c r="D30" s="1" t="s">
        <v>40</v>
      </c>
      <c r="E30" s="1">
        <v>60.0</v>
      </c>
      <c r="F30" s="1">
        <v>15.0</v>
      </c>
      <c r="H30" s="1">
        <v>253291.82532151</v>
      </c>
      <c r="I30" s="1">
        <v>5.09532809257507</v>
      </c>
      <c r="J30" s="1">
        <v>303421.0</v>
      </c>
      <c r="K30" s="1">
        <v>279253.999999999</v>
      </c>
      <c r="L30" s="1">
        <v>279253.999999999</v>
      </c>
      <c r="M30" s="1">
        <v>17.7982869148254</v>
      </c>
      <c r="N30" s="1">
        <v>1597.0</v>
      </c>
      <c r="O30" s="5">
        <f t="shared" si="1"/>
        <v>0</v>
      </c>
      <c r="Q30" s="1">
        <v>253459.166828578</v>
      </c>
      <c r="S30" s="1">
        <v>19.8639371395111</v>
      </c>
      <c r="U30" s="1">
        <v>75688.0010657936</v>
      </c>
      <c r="V30" s="1">
        <v>3.19039440155029</v>
      </c>
      <c r="X30" s="1">
        <v>250776.05994198</v>
      </c>
      <c r="Y30" s="1">
        <v>7.56943035125732</v>
      </c>
      <c r="Z30" s="1"/>
      <c r="AA30" s="1"/>
      <c r="AB30" s="1"/>
      <c r="AC30" s="1"/>
      <c r="AD30" s="1"/>
      <c r="AE30" s="1"/>
      <c r="AF30" s="1"/>
      <c r="AG30" s="1"/>
      <c r="AH30" s="1"/>
    </row>
    <row r="31">
      <c r="D31" s="1" t="s">
        <v>41</v>
      </c>
      <c r="E31" s="1">
        <v>60.0</v>
      </c>
      <c r="F31" s="1">
        <v>15.0</v>
      </c>
      <c r="H31" s="1">
        <v>258365.773841373</v>
      </c>
      <c r="I31" s="1">
        <v>5.13860845565795</v>
      </c>
      <c r="J31" s="1">
        <v>327138.0</v>
      </c>
      <c r="K31" s="1">
        <v>293426.0</v>
      </c>
      <c r="L31" s="1">
        <v>293426.0</v>
      </c>
      <c r="M31" s="1">
        <v>23.9683320522308</v>
      </c>
      <c r="N31" s="1">
        <v>2407.0</v>
      </c>
      <c r="O31" s="5">
        <f t="shared" si="1"/>
        <v>0</v>
      </c>
      <c r="Q31" s="1">
        <v>258561.689410712</v>
      </c>
      <c r="S31" s="1">
        <v>26.8867905139923</v>
      </c>
      <c r="U31" s="1">
        <v>73631.9233383192</v>
      </c>
      <c r="V31" s="1">
        <v>2.39403080940246</v>
      </c>
      <c r="X31" s="1">
        <v>253564.723286599</v>
      </c>
      <c r="Y31" s="1">
        <v>4.98812818527221</v>
      </c>
      <c r="Z31" s="1"/>
      <c r="AA31" s="1"/>
      <c r="AB31" s="1"/>
      <c r="AC31" s="1"/>
      <c r="AD31" s="1"/>
      <c r="AE31" s="1"/>
      <c r="AF31" s="1"/>
      <c r="AG31" s="1"/>
      <c r="AH31" s="1"/>
    </row>
    <row r="32">
      <c r="D32" s="1" t="s">
        <v>42</v>
      </c>
      <c r="E32" s="1">
        <v>60.0</v>
      </c>
      <c r="F32" s="1">
        <v>15.0</v>
      </c>
      <c r="H32" s="1">
        <v>248264.021091459</v>
      </c>
      <c r="I32" s="1">
        <v>5.13558268547058</v>
      </c>
      <c r="J32" s="1">
        <v>324007.999999999</v>
      </c>
      <c r="K32" s="1">
        <v>291332.0</v>
      </c>
      <c r="L32" s="1">
        <v>291332.0</v>
      </c>
      <c r="M32" s="1">
        <v>74.9706177711486</v>
      </c>
      <c r="N32" s="1">
        <v>8209.0</v>
      </c>
      <c r="O32" s="5">
        <f t="shared" si="1"/>
        <v>0</v>
      </c>
      <c r="Q32" s="1">
        <v>248448.107410724</v>
      </c>
      <c r="S32" s="1">
        <v>22.4405200481414</v>
      </c>
      <c r="U32" s="1">
        <v>73915.0436120373</v>
      </c>
      <c r="V32" s="1">
        <v>2.42658591270446</v>
      </c>
      <c r="X32" s="1">
        <v>244340.199017567</v>
      </c>
      <c r="Y32" s="1">
        <v>7.10346436500549</v>
      </c>
      <c r="Z32" s="1"/>
      <c r="AA32" s="1"/>
      <c r="AB32" s="1"/>
      <c r="AC32" s="1"/>
      <c r="AD32" s="1"/>
      <c r="AE32" s="1"/>
      <c r="AF32" s="1"/>
      <c r="AG32" s="1"/>
      <c r="AH32" s="1"/>
    </row>
    <row r="33">
      <c r="D33" s="1" t="s">
        <v>43</v>
      </c>
      <c r="E33" s="1">
        <v>60.0</v>
      </c>
      <c r="F33" s="1">
        <v>15.0</v>
      </c>
      <c r="H33" s="1">
        <v>253015.735990576</v>
      </c>
      <c r="I33" s="1">
        <v>5.28407049179077</v>
      </c>
      <c r="J33" s="1">
        <v>362262.0</v>
      </c>
      <c r="K33" s="1">
        <v>311231.0</v>
      </c>
      <c r="L33" s="1">
        <v>311231.0</v>
      </c>
      <c r="M33" s="1">
        <v>52.8657238483428</v>
      </c>
      <c r="N33" s="1">
        <v>6175.0</v>
      </c>
      <c r="O33" s="5">
        <f t="shared" si="1"/>
        <v>0</v>
      </c>
      <c r="Q33" s="1">
        <v>253156.848822849</v>
      </c>
      <c r="S33" s="1">
        <v>22.8941934108734</v>
      </c>
      <c r="U33" s="1">
        <v>72106.0305949249</v>
      </c>
      <c r="V33" s="1">
        <v>2.45972204208374</v>
      </c>
      <c r="X33" s="1">
        <v>250300.13817669</v>
      </c>
      <c r="Y33" s="1">
        <v>5.7462100982666</v>
      </c>
      <c r="Z33" s="1"/>
      <c r="AA33" s="1"/>
      <c r="AB33" s="1"/>
      <c r="AC33" s="1"/>
      <c r="AD33" s="1"/>
      <c r="AE33" s="1"/>
      <c r="AF33" s="1"/>
      <c r="AG33" s="1"/>
      <c r="AH33" s="1"/>
    </row>
    <row r="34">
      <c r="D34" s="1" t="s">
        <v>44</v>
      </c>
      <c r="E34" s="1">
        <v>60.0</v>
      </c>
      <c r="F34" s="1">
        <v>15.0</v>
      </c>
      <c r="H34" s="1">
        <v>246394.36447344</v>
      </c>
      <c r="I34" s="1">
        <v>5.14463210105896</v>
      </c>
      <c r="J34" s="1">
        <v>313487.999999999</v>
      </c>
      <c r="K34" s="1">
        <v>286549.0</v>
      </c>
      <c r="L34" s="1">
        <v>286549.0</v>
      </c>
      <c r="M34" s="1">
        <v>73.5157248973846</v>
      </c>
      <c r="N34" s="1">
        <v>8305.0</v>
      </c>
      <c r="O34" s="5">
        <f t="shared" si="1"/>
        <v>0</v>
      </c>
      <c r="Q34" s="1">
        <v>246571.104023224</v>
      </c>
      <c r="S34" s="1">
        <v>17.4627616405487</v>
      </c>
      <c r="U34" s="1">
        <v>74771.8500248258</v>
      </c>
      <c r="V34" s="1">
        <v>4.44535636901855</v>
      </c>
      <c r="X34" s="1">
        <v>243087.502481281</v>
      </c>
      <c r="Y34" s="1">
        <v>7.05657052993774</v>
      </c>
      <c r="Z34" s="1"/>
      <c r="AA34" s="1"/>
      <c r="AB34" s="1"/>
      <c r="AC34" s="1"/>
      <c r="AD34" s="1"/>
      <c r="AE34" s="1"/>
      <c r="AF34" s="1"/>
      <c r="AG34" s="1"/>
      <c r="AH34" s="1"/>
    </row>
    <row r="35">
      <c r="D35" s="1" t="s">
        <v>45</v>
      </c>
      <c r="E35" s="1">
        <v>60.0</v>
      </c>
      <c r="F35" s="1">
        <v>15.0</v>
      </c>
      <c r="H35" s="1">
        <v>249511.638611634</v>
      </c>
      <c r="I35" s="1">
        <v>5.29048752784729</v>
      </c>
      <c r="J35" s="1">
        <v>294152.0</v>
      </c>
      <c r="K35" s="1">
        <v>279873.0</v>
      </c>
      <c r="L35" s="1">
        <v>279873.0</v>
      </c>
      <c r="M35" s="1">
        <v>11.7366292476654</v>
      </c>
      <c r="N35" s="1">
        <v>829.0</v>
      </c>
      <c r="O35" s="5">
        <f t="shared" si="1"/>
        <v>0</v>
      </c>
      <c r="Q35" s="1">
        <v>249674.685593099</v>
      </c>
      <c r="S35" s="1">
        <v>21.7322530746459</v>
      </c>
      <c r="U35" s="1">
        <v>75065.2275852145</v>
      </c>
      <c r="V35" s="1">
        <v>3.29501342773437</v>
      </c>
      <c r="X35" s="1">
        <v>246281.217401352</v>
      </c>
      <c r="Y35" s="1">
        <v>6.19412851333618</v>
      </c>
      <c r="Z35" s="1"/>
      <c r="AA35" s="1"/>
      <c r="AB35" s="1"/>
      <c r="AC35" s="1"/>
      <c r="AD35" s="1"/>
      <c r="AE35" s="1"/>
      <c r="AF35" s="1"/>
      <c r="AG35" s="1"/>
      <c r="AH35" s="1"/>
    </row>
    <row r="36">
      <c r="D36" s="1"/>
      <c r="E36" s="6">
        <f t="shared" ref="E36:F36" si="2">AVERAGE(E6:E35)</f>
        <v>60</v>
      </c>
      <c r="F36" s="6">
        <f t="shared" si="2"/>
        <v>15</v>
      </c>
      <c r="H36" s="6">
        <f t="shared" ref="H36:O36" si="3">AVERAGE(H6:H35)</f>
        <v>249749.226</v>
      </c>
      <c r="I36" s="6">
        <f t="shared" si="3"/>
        <v>5.14627068</v>
      </c>
      <c r="J36" s="6">
        <f t="shared" si="3"/>
        <v>323050.8333</v>
      </c>
      <c r="K36" s="6">
        <f t="shared" si="3"/>
        <v>295257.1667</v>
      </c>
      <c r="L36" s="6">
        <f t="shared" si="3"/>
        <v>295257.1667</v>
      </c>
      <c r="M36" s="6">
        <f t="shared" si="3"/>
        <v>55.58155937</v>
      </c>
      <c r="N36" s="6">
        <f t="shared" si="3"/>
        <v>6237.866667</v>
      </c>
      <c r="O36" s="6">
        <f t="shared" si="3"/>
        <v>0</v>
      </c>
      <c r="Q36" s="6">
        <f>AVERAGE(Q6:Q35)</f>
        <v>249914.2781</v>
      </c>
      <c r="S36" s="6">
        <f>AVERAGE(S6:S35)</f>
        <v>21.4830406</v>
      </c>
    </row>
    <row r="37">
      <c r="D37" s="1" t="s">
        <v>16</v>
      </c>
      <c r="E37" s="1">
        <v>60.0</v>
      </c>
      <c r="F37" s="1">
        <v>20.0</v>
      </c>
      <c r="H37" s="1">
        <v>399697.371279364</v>
      </c>
      <c r="I37" s="1">
        <v>5.24516940116882</v>
      </c>
      <c r="J37" s="1">
        <v>423048.999999999</v>
      </c>
      <c r="K37" s="1">
        <v>423048.999999999</v>
      </c>
      <c r="L37" s="1">
        <v>423048.999999999</v>
      </c>
      <c r="M37" s="1">
        <v>7.62773489952087</v>
      </c>
      <c r="N37" s="1">
        <v>355.0</v>
      </c>
      <c r="O37" s="5">
        <f t="shared" ref="O37:O66" si="4">100*(K37-L37)/K37</f>
        <v>0</v>
      </c>
      <c r="Q37" s="1">
        <v>399912.768213862</v>
      </c>
      <c r="S37" s="1">
        <v>37.2513599395751</v>
      </c>
      <c r="U37" s="1">
        <v>78998.9722562236</v>
      </c>
      <c r="V37" s="1">
        <v>2.47504138946533</v>
      </c>
      <c r="X37" s="1">
        <v>394650.821735973</v>
      </c>
      <c r="Y37" s="1">
        <v>11.5173666477203</v>
      </c>
      <c r="Z37" s="1"/>
      <c r="AA37" s="1"/>
      <c r="AB37" s="1"/>
      <c r="AC37" s="1"/>
      <c r="AD37" s="1"/>
      <c r="AE37" s="1"/>
      <c r="AF37" s="1"/>
      <c r="AG37" s="1"/>
      <c r="AH37" s="1"/>
    </row>
    <row r="38">
      <c r="D38" s="1" t="s">
        <v>17</v>
      </c>
      <c r="E38" s="1">
        <v>60.0</v>
      </c>
      <c r="F38" s="1">
        <v>20.0</v>
      </c>
      <c r="H38" s="1">
        <v>454284.362623092</v>
      </c>
      <c r="I38" s="1">
        <v>5.20633006095886</v>
      </c>
      <c r="J38" s="1">
        <v>519390.0</v>
      </c>
      <c r="K38" s="1">
        <v>497278.999999999</v>
      </c>
      <c r="L38" s="1">
        <v>497278.999999999</v>
      </c>
      <c r="M38" s="1">
        <v>10.7668781280517</v>
      </c>
      <c r="N38" s="1">
        <v>833.0</v>
      </c>
      <c r="O38" s="5">
        <f t="shared" si="4"/>
        <v>0</v>
      </c>
      <c r="Q38" s="1">
        <v>454400.396167529</v>
      </c>
      <c r="S38" s="1">
        <v>13.1116235256195</v>
      </c>
      <c r="U38" s="1">
        <v>80812.0309745619</v>
      </c>
      <c r="V38" s="1">
        <v>2.52234530448913</v>
      </c>
      <c r="X38" s="1">
        <v>449601.277827043</v>
      </c>
      <c r="Y38" s="1">
        <v>5.46568036079406</v>
      </c>
      <c r="Z38" s="1"/>
      <c r="AA38" s="1"/>
      <c r="AB38" s="1"/>
      <c r="AC38" s="1"/>
      <c r="AD38" s="1"/>
      <c r="AE38" s="1"/>
      <c r="AF38" s="1"/>
      <c r="AG38" s="1"/>
      <c r="AH38" s="1"/>
    </row>
    <row r="39">
      <c r="D39" s="1" t="s">
        <v>18</v>
      </c>
      <c r="E39" s="1">
        <v>60.0</v>
      </c>
      <c r="F39" s="1">
        <v>20.0</v>
      </c>
      <c r="H39" s="1">
        <v>391224.512544496</v>
      </c>
      <c r="I39" s="1">
        <v>5.30151796340942</v>
      </c>
      <c r="J39" s="1">
        <v>417180.999999999</v>
      </c>
      <c r="K39" s="1">
        <v>417180.999999999</v>
      </c>
      <c r="L39" s="1">
        <v>417180.999999999</v>
      </c>
      <c r="M39" s="1">
        <v>8.52548551559448</v>
      </c>
      <c r="N39" s="1">
        <v>501.0</v>
      </c>
      <c r="O39" s="5">
        <f t="shared" si="4"/>
        <v>0</v>
      </c>
      <c r="Q39" s="1">
        <v>391434.280198197</v>
      </c>
      <c r="S39" s="1">
        <v>19.2981441020965</v>
      </c>
      <c r="U39" s="1">
        <v>80355.5149765949</v>
      </c>
      <c r="V39" s="1">
        <v>3.72210216522216</v>
      </c>
      <c r="X39" s="1">
        <v>388319.547355171</v>
      </c>
      <c r="Y39" s="1">
        <v>10.5221061706542</v>
      </c>
      <c r="Z39" s="1"/>
      <c r="AA39" s="1"/>
      <c r="AB39" s="1"/>
      <c r="AC39" s="1"/>
      <c r="AD39" s="1"/>
      <c r="AE39" s="1"/>
      <c r="AF39" s="1"/>
      <c r="AG39" s="1"/>
      <c r="AH39" s="1"/>
    </row>
    <row r="40">
      <c r="D40" s="1" t="s">
        <v>19</v>
      </c>
      <c r="E40" s="1">
        <v>60.0</v>
      </c>
      <c r="F40" s="1">
        <v>20.0</v>
      </c>
      <c r="H40" s="1">
        <v>446021.505330052</v>
      </c>
      <c r="I40" s="1">
        <v>5.24157381057739</v>
      </c>
      <c r="J40" s="1">
        <v>494846.0</v>
      </c>
      <c r="K40" s="1">
        <v>478062.999999999</v>
      </c>
      <c r="L40" s="1">
        <v>478062.999999999</v>
      </c>
      <c r="M40" s="1">
        <v>14.1833846569061</v>
      </c>
      <c r="N40" s="1">
        <v>1253.0</v>
      </c>
      <c r="O40" s="5">
        <f t="shared" si="4"/>
        <v>0</v>
      </c>
      <c r="Q40" s="1">
        <v>446261.086071612</v>
      </c>
      <c r="S40" s="1">
        <v>24.4344704151153</v>
      </c>
      <c r="U40" s="1">
        <v>79531.0011729577</v>
      </c>
      <c r="V40" s="1">
        <v>2.45307421684265</v>
      </c>
      <c r="X40" s="1">
        <v>437983.685688985</v>
      </c>
      <c r="Y40" s="1">
        <v>7.38888907432556</v>
      </c>
      <c r="Z40" s="1"/>
      <c r="AA40" s="1"/>
      <c r="AB40" s="1"/>
      <c r="AC40" s="1"/>
      <c r="AD40" s="1"/>
      <c r="AE40" s="1"/>
      <c r="AF40" s="1"/>
      <c r="AG40" s="1"/>
      <c r="AH40" s="1"/>
    </row>
    <row r="41">
      <c r="D41" s="1" t="s">
        <v>20</v>
      </c>
      <c r="E41" s="1">
        <v>60.0</v>
      </c>
      <c r="F41" s="1">
        <v>20.0</v>
      </c>
      <c r="H41" s="1">
        <v>451781.250504944</v>
      </c>
      <c r="I41" s="1">
        <v>5.2424931526184</v>
      </c>
      <c r="J41" s="1">
        <v>496252.999999999</v>
      </c>
      <c r="K41" s="1">
        <v>474799.0</v>
      </c>
      <c r="L41" s="1">
        <v>474799.0</v>
      </c>
      <c r="M41" s="1">
        <v>12.2001667022705</v>
      </c>
      <c r="N41" s="1">
        <v>925.0</v>
      </c>
      <c r="O41" s="5">
        <f t="shared" si="4"/>
        <v>0</v>
      </c>
      <c r="Q41" s="1">
        <v>452010.209627929</v>
      </c>
      <c r="S41" s="1">
        <v>16.8156225681304</v>
      </c>
      <c r="U41" s="1">
        <v>81483.0127837973</v>
      </c>
      <c r="V41" s="1">
        <v>2.32720065116882</v>
      </c>
      <c r="X41" s="1">
        <v>438837.107067038</v>
      </c>
      <c r="Y41" s="1">
        <v>5.77956080436706</v>
      </c>
      <c r="Z41" s="1"/>
      <c r="AA41" s="1"/>
      <c r="AB41" s="1"/>
      <c r="AC41" s="1"/>
      <c r="AD41" s="1"/>
      <c r="AE41" s="1"/>
      <c r="AF41" s="1"/>
      <c r="AG41" s="1"/>
      <c r="AH41" s="1"/>
    </row>
    <row r="42">
      <c r="D42" s="1" t="s">
        <v>21</v>
      </c>
      <c r="E42" s="1">
        <v>60.0</v>
      </c>
      <c r="F42" s="1">
        <v>20.0</v>
      </c>
      <c r="H42" s="1">
        <v>427610.108650945</v>
      </c>
      <c r="I42" s="1">
        <v>5.20788764953613</v>
      </c>
      <c r="J42" s="1">
        <v>458772.999999999</v>
      </c>
      <c r="K42" s="1">
        <v>458772.999999999</v>
      </c>
      <c r="L42" s="1">
        <v>458772.999999999</v>
      </c>
      <c r="M42" s="1">
        <v>8.48287177085876</v>
      </c>
      <c r="N42" s="1">
        <v>523.0</v>
      </c>
      <c r="O42" s="5">
        <f t="shared" si="4"/>
        <v>0</v>
      </c>
      <c r="Q42" s="1">
        <v>427778.586840024</v>
      </c>
      <c r="S42" s="1">
        <v>34.5565659999847</v>
      </c>
      <c r="U42" s="1">
        <v>80755.3373457978</v>
      </c>
      <c r="V42" s="1">
        <v>2.97386884689331</v>
      </c>
      <c r="X42" s="1">
        <v>423121.126900654</v>
      </c>
      <c r="Y42" s="1">
        <v>7.5835416316986</v>
      </c>
      <c r="Z42" s="1"/>
      <c r="AA42" s="1"/>
      <c r="AB42" s="1"/>
      <c r="AC42" s="1"/>
      <c r="AD42" s="1"/>
      <c r="AE42" s="1"/>
      <c r="AF42" s="1"/>
      <c r="AG42" s="1"/>
      <c r="AH42" s="1"/>
    </row>
    <row r="43">
      <c r="D43" s="1" t="s">
        <v>22</v>
      </c>
      <c r="E43" s="1">
        <v>60.0</v>
      </c>
      <c r="F43" s="1">
        <v>20.0</v>
      </c>
      <c r="H43" s="1">
        <v>442373.382040497</v>
      </c>
      <c r="I43" s="1">
        <v>5.24216699600219</v>
      </c>
      <c r="J43" s="1">
        <v>485337.999999999</v>
      </c>
      <c r="K43" s="1">
        <v>485337.999999999</v>
      </c>
      <c r="L43" s="1">
        <v>485337.999999999</v>
      </c>
      <c r="M43" s="1">
        <v>15.45037317276</v>
      </c>
      <c r="N43" s="1">
        <v>1525.0</v>
      </c>
      <c r="O43" s="5">
        <f t="shared" si="4"/>
        <v>0</v>
      </c>
      <c r="Q43" s="1">
        <v>442585.285997806</v>
      </c>
      <c r="S43" s="1">
        <v>43.6065592765808</v>
      </c>
      <c r="U43" s="1">
        <v>80571.8867682682</v>
      </c>
      <c r="V43" s="1">
        <v>2.55763792991638</v>
      </c>
      <c r="X43" s="1">
        <v>436404.352702856</v>
      </c>
      <c r="Y43" s="1">
        <v>6.49813795089721</v>
      </c>
      <c r="Z43" s="1"/>
      <c r="AA43" s="1"/>
      <c r="AB43" s="1"/>
      <c r="AC43" s="1"/>
      <c r="AD43" s="1"/>
      <c r="AE43" s="1"/>
      <c r="AF43" s="1"/>
      <c r="AG43" s="1"/>
      <c r="AH43" s="1"/>
    </row>
    <row r="44">
      <c r="D44" s="1" t="s">
        <v>23</v>
      </c>
      <c r="E44" s="1">
        <v>60.0</v>
      </c>
      <c r="F44" s="1">
        <v>20.0</v>
      </c>
      <c r="H44" s="1">
        <v>432483.991332527</v>
      </c>
      <c r="I44" s="1">
        <v>5.21570968627929</v>
      </c>
      <c r="J44" s="1">
        <v>540470.0</v>
      </c>
      <c r="K44" s="1">
        <v>504874.0</v>
      </c>
      <c r="L44" s="1">
        <v>504874.0</v>
      </c>
      <c r="M44" s="1">
        <v>36.8113162517547</v>
      </c>
      <c r="N44" s="1">
        <v>4587.0</v>
      </c>
      <c r="O44" s="5">
        <f t="shared" si="4"/>
        <v>0</v>
      </c>
      <c r="Q44" s="1">
        <v>432617.399094658</v>
      </c>
      <c r="S44" s="1">
        <v>8.68305373191833</v>
      </c>
      <c r="U44" s="1">
        <v>78974.972167097</v>
      </c>
      <c r="V44" s="1">
        <v>2.66142106056213</v>
      </c>
      <c r="X44" s="1">
        <v>428989.231756013</v>
      </c>
      <c r="Y44" s="1">
        <v>7.18617153167724</v>
      </c>
      <c r="Z44" s="1"/>
      <c r="AA44" s="1"/>
      <c r="AB44" s="1"/>
      <c r="AC44" s="1"/>
      <c r="AD44" s="1"/>
      <c r="AE44" s="1"/>
      <c r="AF44" s="1"/>
      <c r="AG44" s="1"/>
      <c r="AH44" s="1"/>
    </row>
    <row r="45">
      <c r="D45" s="1" t="s">
        <v>24</v>
      </c>
      <c r="E45" s="1">
        <v>60.0</v>
      </c>
      <c r="F45" s="1">
        <v>20.0</v>
      </c>
      <c r="H45" s="1">
        <v>456014.917638223</v>
      </c>
      <c r="I45" s="1">
        <v>5.2498140335083</v>
      </c>
      <c r="J45" s="1">
        <v>512386.0</v>
      </c>
      <c r="K45" s="1">
        <v>485162.999999999</v>
      </c>
      <c r="L45" s="1">
        <v>485162.999999999</v>
      </c>
      <c r="M45" s="1">
        <v>15.4077174663543</v>
      </c>
      <c r="N45" s="1">
        <v>1339.0</v>
      </c>
      <c r="O45" s="5">
        <f t="shared" si="4"/>
        <v>0</v>
      </c>
      <c r="Q45" s="1">
        <v>456236.746294282</v>
      </c>
      <c r="S45" s="1">
        <v>18.7171835899353</v>
      </c>
      <c r="U45" s="1">
        <v>80814.9296089324</v>
      </c>
      <c r="V45" s="1">
        <v>2.43479490280151</v>
      </c>
      <c r="X45" s="1">
        <v>447821.099265515</v>
      </c>
      <c r="Y45" s="1">
        <v>6.33755826950073</v>
      </c>
      <c r="Z45" s="1"/>
      <c r="AA45" s="1"/>
      <c r="AB45" s="1"/>
      <c r="AC45" s="1"/>
      <c r="AD45" s="1"/>
      <c r="AE45" s="1"/>
      <c r="AF45" s="1"/>
      <c r="AG45" s="1"/>
      <c r="AH45" s="1"/>
    </row>
    <row r="46">
      <c r="D46" s="1" t="s">
        <v>25</v>
      </c>
      <c r="E46" s="1">
        <v>60.0</v>
      </c>
      <c r="F46" s="1">
        <v>20.0</v>
      </c>
      <c r="H46" s="1">
        <v>475908.691692514</v>
      </c>
      <c r="I46" s="1">
        <v>5.25159883499145</v>
      </c>
      <c r="J46" s="1">
        <v>556586.0</v>
      </c>
      <c r="K46" s="1">
        <v>518376.999999999</v>
      </c>
      <c r="L46" s="1">
        <v>518376.999999999</v>
      </c>
      <c r="M46" s="1">
        <v>16.7348737716674</v>
      </c>
      <c r="N46" s="1">
        <v>1601.0</v>
      </c>
      <c r="O46" s="5">
        <f t="shared" si="4"/>
        <v>0</v>
      </c>
      <c r="Q46" s="1">
        <v>476139.488755848</v>
      </c>
      <c r="S46" s="1">
        <v>25.2176795005798</v>
      </c>
      <c r="U46" s="1">
        <v>81192.0275993255</v>
      </c>
      <c r="V46" s="1">
        <v>2.39487123489379</v>
      </c>
      <c r="X46" s="1">
        <v>467252.445372457</v>
      </c>
      <c r="Y46" s="1">
        <v>6.54479765892028</v>
      </c>
      <c r="Z46" s="1"/>
      <c r="AA46" s="1"/>
      <c r="AB46" s="1"/>
      <c r="AC46" s="1"/>
      <c r="AD46" s="1"/>
      <c r="AE46" s="1"/>
      <c r="AF46" s="1"/>
      <c r="AG46" s="1"/>
      <c r="AH46" s="1"/>
    </row>
    <row r="47">
      <c r="D47" s="1" t="s">
        <v>26</v>
      </c>
      <c r="E47" s="1">
        <v>60.0</v>
      </c>
      <c r="F47" s="1">
        <v>20.0</v>
      </c>
      <c r="H47" s="1">
        <v>466576.710130778</v>
      </c>
      <c r="I47" s="1">
        <v>5.22972869873046</v>
      </c>
      <c r="J47" s="1">
        <v>522800.999999999</v>
      </c>
      <c r="K47" s="1">
        <v>502259.0</v>
      </c>
      <c r="L47" s="1">
        <v>502259.0</v>
      </c>
      <c r="M47" s="1">
        <v>14.2847783565521</v>
      </c>
      <c r="N47" s="1">
        <v>1233.0</v>
      </c>
      <c r="O47" s="5">
        <f t="shared" si="4"/>
        <v>0</v>
      </c>
      <c r="Q47" s="1">
        <v>466777.115696864</v>
      </c>
      <c r="S47" s="1">
        <v>15.4794166088104</v>
      </c>
      <c r="U47" s="1">
        <v>82879.0451947945</v>
      </c>
      <c r="V47" s="1">
        <v>2.7092854976654</v>
      </c>
      <c r="X47" s="1">
        <v>458419.897143424</v>
      </c>
      <c r="Y47" s="1">
        <v>16.6859409809112</v>
      </c>
      <c r="Z47" s="1"/>
      <c r="AA47" s="1"/>
      <c r="AB47" s="1"/>
      <c r="AC47" s="1"/>
      <c r="AD47" s="1"/>
      <c r="AE47" s="1"/>
      <c r="AF47" s="1"/>
      <c r="AG47" s="1"/>
      <c r="AH47" s="1"/>
    </row>
    <row r="48">
      <c r="D48" s="1" t="s">
        <v>27</v>
      </c>
      <c r="E48" s="1">
        <v>60.0</v>
      </c>
      <c r="F48" s="1">
        <v>20.0</v>
      </c>
      <c r="H48" s="1">
        <v>467805.604211375</v>
      </c>
      <c r="I48" s="1">
        <v>5.20858407020568</v>
      </c>
      <c r="J48" s="1">
        <v>547755.0</v>
      </c>
      <c r="K48" s="1">
        <v>506539.0</v>
      </c>
      <c r="L48" s="1">
        <v>506539.0</v>
      </c>
      <c r="M48" s="1">
        <v>16.2253990173339</v>
      </c>
      <c r="N48" s="1">
        <v>1523.0</v>
      </c>
      <c r="O48" s="5">
        <f t="shared" si="4"/>
        <v>0</v>
      </c>
      <c r="Q48" s="1">
        <v>468022.583877031</v>
      </c>
      <c r="S48" s="1">
        <v>15.2833847999572</v>
      </c>
      <c r="U48" s="1">
        <v>79245.9725549555</v>
      </c>
      <c r="V48" s="1">
        <v>2.32668352127075</v>
      </c>
      <c r="X48" s="1">
        <v>458650.428221619</v>
      </c>
      <c r="Y48" s="1">
        <v>5.24269795417785</v>
      </c>
      <c r="Z48" s="1"/>
      <c r="AA48" s="1"/>
      <c r="AB48" s="1"/>
      <c r="AC48" s="1"/>
      <c r="AD48" s="1"/>
      <c r="AE48" s="1"/>
      <c r="AF48" s="1"/>
      <c r="AG48" s="1"/>
      <c r="AH48" s="1"/>
    </row>
    <row r="49">
      <c r="D49" s="1" t="s">
        <v>28</v>
      </c>
      <c r="E49" s="1">
        <v>60.0</v>
      </c>
      <c r="F49" s="1">
        <v>20.0</v>
      </c>
      <c r="H49" s="1">
        <v>442133.577556114</v>
      </c>
      <c r="I49" s="1">
        <v>5.20437812805175</v>
      </c>
      <c r="J49" s="1">
        <v>502616.0</v>
      </c>
      <c r="K49" s="1">
        <v>473502.999999999</v>
      </c>
      <c r="L49" s="1">
        <v>473502.999999999</v>
      </c>
      <c r="M49" s="1">
        <v>14.0443527698516</v>
      </c>
      <c r="N49" s="1">
        <v>1295.0</v>
      </c>
      <c r="O49" s="5">
        <f t="shared" si="4"/>
        <v>0</v>
      </c>
      <c r="Q49" s="1">
        <v>442341.142793628</v>
      </c>
      <c r="S49" s="1">
        <v>21.3926217555999</v>
      </c>
      <c r="U49" s="1">
        <v>79998.9940773835</v>
      </c>
      <c r="V49" s="1">
        <v>2.25061202049255</v>
      </c>
      <c r="X49" s="1">
        <v>435994.897400488</v>
      </c>
      <c r="Y49" s="1">
        <v>6.79340267181396</v>
      </c>
      <c r="Z49" s="1"/>
      <c r="AA49" s="1"/>
      <c r="AB49" s="1"/>
      <c r="AC49" s="1"/>
      <c r="AD49" s="1"/>
      <c r="AE49" s="1"/>
      <c r="AF49" s="1"/>
      <c r="AG49" s="1"/>
      <c r="AH49" s="1"/>
    </row>
    <row r="50">
      <c r="D50" s="1" t="s">
        <v>29</v>
      </c>
      <c r="E50" s="1">
        <v>60.0</v>
      </c>
      <c r="F50" s="1">
        <v>20.0</v>
      </c>
      <c r="H50" s="1">
        <v>434167.129374396</v>
      </c>
      <c r="I50" s="1">
        <v>5.24448108673095</v>
      </c>
      <c r="J50" s="1">
        <v>483632.0</v>
      </c>
      <c r="K50" s="1">
        <v>472538.999999999</v>
      </c>
      <c r="L50" s="1">
        <v>472538.999999999</v>
      </c>
      <c r="M50" s="1">
        <v>20.2920050621032</v>
      </c>
      <c r="N50" s="1">
        <v>2079.0</v>
      </c>
      <c r="O50" s="5">
        <f t="shared" si="4"/>
        <v>0</v>
      </c>
      <c r="Q50" s="1">
        <v>434393.034064873</v>
      </c>
      <c r="S50" s="1">
        <v>20.6894538402557</v>
      </c>
      <c r="U50" s="1">
        <v>78301.0426481316</v>
      </c>
      <c r="V50" s="1">
        <v>2.69329357147216</v>
      </c>
      <c r="X50" s="1">
        <v>426322.468498961</v>
      </c>
      <c r="Y50" s="1">
        <v>9.99635696411132</v>
      </c>
      <c r="Z50" s="1"/>
      <c r="AA50" s="1"/>
      <c r="AB50" s="1"/>
      <c r="AC50" s="1"/>
      <c r="AD50" s="1"/>
      <c r="AE50" s="1"/>
      <c r="AF50" s="1"/>
      <c r="AG50" s="1"/>
      <c r="AH50" s="1"/>
    </row>
    <row r="51">
      <c r="D51" s="1" t="s">
        <v>30</v>
      </c>
      <c r="E51" s="1">
        <v>60.0</v>
      </c>
      <c r="F51" s="1">
        <v>20.0</v>
      </c>
      <c r="H51" s="1">
        <v>481675.833883708</v>
      </c>
      <c r="I51" s="1">
        <v>5.20358681678772</v>
      </c>
      <c r="J51" s="1">
        <v>556947.0</v>
      </c>
      <c r="K51" s="1">
        <v>521184.999999999</v>
      </c>
      <c r="L51" s="1">
        <v>521184.999999999</v>
      </c>
      <c r="M51" s="1">
        <v>13.1799268722534</v>
      </c>
      <c r="N51" s="1">
        <v>1089.0</v>
      </c>
      <c r="O51" s="5">
        <f t="shared" si="4"/>
        <v>0</v>
      </c>
      <c r="Q51" s="1">
        <v>481923.657891166</v>
      </c>
      <c r="S51" s="1">
        <v>21.8918104171752</v>
      </c>
      <c r="U51" s="1">
        <v>82236.9914761132</v>
      </c>
      <c r="V51" s="1">
        <v>3.24342823028564</v>
      </c>
      <c r="X51" s="1">
        <v>475930.371987048</v>
      </c>
      <c r="Y51" s="1">
        <v>8.12866401672363</v>
      </c>
      <c r="Z51" s="1"/>
      <c r="AA51" s="1"/>
      <c r="AB51" s="1"/>
      <c r="AC51" s="1"/>
      <c r="AD51" s="1"/>
      <c r="AE51" s="1"/>
      <c r="AF51" s="1"/>
      <c r="AG51" s="1"/>
      <c r="AH51" s="1"/>
    </row>
    <row r="52">
      <c r="D52" s="1" t="s">
        <v>31</v>
      </c>
      <c r="E52" s="1">
        <v>60.0</v>
      </c>
      <c r="F52" s="1">
        <v>20.0</v>
      </c>
      <c r="H52" s="1">
        <v>463499.900760029</v>
      </c>
      <c r="I52" s="1">
        <v>5.22657322883606</v>
      </c>
      <c r="J52" s="1">
        <v>587573.0</v>
      </c>
      <c r="K52" s="1">
        <v>504104.999999999</v>
      </c>
      <c r="L52" s="1">
        <v>504104.999999999</v>
      </c>
      <c r="M52" s="1">
        <v>8.73451161384582</v>
      </c>
      <c r="N52" s="1">
        <v>521.0</v>
      </c>
      <c r="O52" s="5">
        <f t="shared" si="4"/>
        <v>0</v>
      </c>
      <c r="Q52" s="1">
        <v>463766.788106535</v>
      </c>
      <c r="S52" s="1">
        <v>28.9120552539825</v>
      </c>
      <c r="U52" s="1">
        <v>82351.8609175337</v>
      </c>
      <c r="V52" s="1">
        <v>2.40964722633361</v>
      </c>
      <c r="X52" s="1">
        <v>458606.440521648</v>
      </c>
      <c r="Y52" s="1">
        <v>6.89860606193542</v>
      </c>
      <c r="Z52" s="1"/>
      <c r="AA52" s="1"/>
      <c r="AB52" s="1"/>
      <c r="AC52" s="1"/>
      <c r="AD52" s="1"/>
      <c r="AE52" s="1"/>
      <c r="AF52" s="1"/>
      <c r="AG52" s="1"/>
      <c r="AH52" s="1"/>
    </row>
    <row r="53">
      <c r="D53" s="1" t="s">
        <v>32</v>
      </c>
      <c r="E53" s="1">
        <v>60.0</v>
      </c>
      <c r="F53" s="1">
        <v>20.0</v>
      </c>
      <c r="H53" s="1">
        <v>464881.947276308</v>
      </c>
      <c r="I53" s="1">
        <v>5.30826568603515</v>
      </c>
      <c r="J53" s="1">
        <v>518646.0</v>
      </c>
      <c r="K53" s="1">
        <v>497389.0</v>
      </c>
      <c r="L53" s="1">
        <v>497389.0</v>
      </c>
      <c r="M53" s="1">
        <v>9.08601951599121</v>
      </c>
      <c r="N53" s="1">
        <v>509.0</v>
      </c>
      <c r="O53" s="5">
        <f t="shared" si="4"/>
        <v>0</v>
      </c>
      <c r="Q53" s="1">
        <v>465093.81982345</v>
      </c>
      <c r="S53" s="1">
        <v>18.9518141746521</v>
      </c>
      <c r="U53" s="1">
        <v>81887.4908533606</v>
      </c>
      <c r="V53" s="1">
        <v>2.41778016090393</v>
      </c>
      <c r="X53" s="1">
        <v>457896.449539392</v>
      </c>
      <c r="Y53" s="1">
        <v>8.69557499885559</v>
      </c>
      <c r="Z53" s="1"/>
      <c r="AA53" s="1"/>
      <c r="AB53" s="1"/>
      <c r="AC53" s="1"/>
      <c r="AD53" s="1"/>
      <c r="AE53" s="1"/>
      <c r="AF53" s="1"/>
      <c r="AG53" s="1"/>
      <c r="AH53" s="1"/>
    </row>
    <row r="54">
      <c r="D54" s="1" t="s">
        <v>33</v>
      </c>
      <c r="E54" s="1">
        <v>60.0</v>
      </c>
      <c r="F54" s="1">
        <v>20.0</v>
      </c>
      <c r="H54" s="1">
        <v>496472.274198165</v>
      </c>
      <c r="I54" s="1">
        <v>5.21655535697937</v>
      </c>
      <c r="J54" s="1">
        <v>625135.0</v>
      </c>
      <c r="K54" s="1">
        <v>550001.0</v>
      </c>
      <c r="L54" s="1">
        <v>550001.0</v>
      </c>
      <c r="M54" s="1">
        <v>47.026418685913</v>
      </c>
      <c r="N54" s="1">
        <v>5501.0</v>
      </c>
      <c r="O54" s="5">
        <f t="shared" si="4"/>
        <v>0</v>
      </c>
      <c r="Q54" s="1">
        <v>496705.11903045</v>
      </c>
      <c r="S54" s="1">
        <v>19.3166098594665</v>
      </c>
      <c r="U54" s="1">
        <v>82208.0135106754</v>
      </c>
      <c r="V54" s="1">
        <v>2.33125948905944</v>
      </c>
      <c r="X54" s="1">
        <v>488602.21673482</v>
      </c>
      <c r="Y54" s="1">
        <v>8.81506705284118</v>
      </c>
      <c r="Z54" s="1"/>
      <c r="AA54" s="1"/>
      <c r="AB54" s="1"/>
      <c r="AC54" s="1"/>
      <c r="AD54" s="1"/>
      <c r="AE54" s="1"/>
      <c r="AF54" s="1"/>
      <c r="AG54" s="1"/>
      <c r="AH54" s="1"/>
    </row>
    <row r="55">
      <c r="D55" s="1" t="s">
        <v>34</v>
      </c>
      <c r="E55" s="1">
        <v>60.0</v>
      </c>
      <c r="F55" s="1">
        <v>20.0</v>
      </c>
      <c r="H55" s="1">
        <v>458630.908536159</v>
      </c>
      <c r="I55" s="1">
        <v>5.23907995223999</v>
      </c>
      <c r="J55" s="1">
        <v>491482.0</v>
      </c>
      <c r="K55" s="1">
        <v>486233.999999999</v>
      </c>
      <c r="L55" s="1">
        <v>486233.999999999</v>
      </c>
      <c r="M55" s="1">
        <v>7.40371179580688</v>
      </c>
      <c r="N55" s="1">
        <v>301.0</v>
      </c>
      <c r="O55" s="5">
        <f t="shared" si="4"/>
        <v>0</v>
      </c>
      <c r="Q55" s="1">
        <v>458853.974179596</v>
      </c>
      <c r="S55" s="1">
        <v>25.2580177783966</v>
      </c>
      <c r="U55" s="1">
        <v>80739.9779256054</v>
      </c>
      <c r="V55" s="1">
        <v>2.47728538513183</v>
      </c>
      <c r="X55" s="1">
        <v>448323.26670531</v>
      </c>
      <c r="Y55" s="1">
        <v>6.00658822059631</v>
      </c>
      <c r="Z55" s="1"/>
      <c r="AA55" s="1"/>
      <c r="AB55" s="1"/>
      <c r="AC55" s="1"/>
      <c r="AD55" s="1"/>
      <c r="AE55" s="1"/>
      <c r="AF55" s="1"/>
      <c r="AG55" s="1"/>
      <c r="AH55" s="1"/>
    </row>
    <row r="56">
      <c r="D56" s="1" t="s">
        <v>35</v>
      </c>
      <c r="E56" s="1">
        <v>60.0</v>
      </c>
      <c r="F56" s="1">
        <v>20.0</v>
      </c>
      <c r="H56" s="1">
        <v>439261.834387368</v>
      </c>
      <c r="I56" s="1">
        <v>5.45675611495971</v>
      </c>
      <c r="J56" s="1">
        <v>461834.0</v>
      </c>
      <c r="K56" s="1">
        <v>461833.999999999</v>
      </c>
      <c r="L56" s="1">
        <v>461833.999999999</v>
      </c>
      <c r="M56" s="1">
        <v>8.04967498779296</v>
      </c>
      <c r="N56" s="1">
        <v>403.0</v>
      </c>
      <c r="O56" s="5">
        <f t="shared" si="4"/>
        <v>0</v>
      </c>
      <c r="Q56" s="1">
        <v>439507.492820148</v>
      </c>
      <c r="S56" s="1">
        <v>21.7749474048614</v>
      </c>
      <c r="U56" s="1">
        <v>79537.9857411511</v>
      </c>
      <c r="V56" s="1">
        <v>2.50092339515686</v>
      </c>
      <c r="X56" s="1">
        <v>431042.187372349</v>
      </c>
      <c r="Y56" s="1">
        <v>8.46048498153686</v>
      </c>
      <c r="Z56" s="1"/>
      <c r="AA56" s="1"/>
      <c r="AB56" s="1"/>
      <c r="AC56" s="1"/>
      <c r="AD56" s="1"/>
      <c r="AE56" s="1"/>
      <c r="AF56" s="1"/>
      <c r="AG56" s="1"/>
      <c r="AH56" s="1"/>
    </row>
    <row r="57">
      <c r="D57" s="1" t="s">
        <v>36</v>
      </c>
      <c r="E57" s="1">
        <v>60.0</v>
      </c>
      <c r="F57" s="1">
        <v>20.0</v>
      </c>
      <c r="H57" s="1">
        <v>463057.945118771</v>
      </c>
      <c r="I57" s="1">
        <v>5.24006295204162</v>
      </c>
      <c r="J57" s="1">
        <v>488670.999999999</v>
      </c>
      <c r="K57" s="1">
        <v>486393.0</v>
      </c>
      <c r="L57" s="1">
        <v>486393.0</v>
      </c>
      <c r="M57" s="1">
        <v>9.35341811180114</v>
      </c>
      <c r="N57" s="1">
        <v>559.0</v>
      </c>
      <c r="O57" s="5">
        <f t="shared" si="4"/>
        <v>0</v>
      </c>
      <c r="Q57" s="1">
        <v>463244.589060122</v>
      </c>
      <c r="S57" s="1">
        <v>14.5535674095153</v>
      </c>
      <c r="U57" s="1">
        <v>79886.9999903195</v>
      </c>
      <c r="V57" s="1">
        <v>2.68004512786865</v>
      </c>
      <c r="X57" s="1">
        <v>454703.376240173</v>
      </c>
      <c r="Y57" s="1">
        <v>8.06812453269958</v>
      </c>
      <c r="Z57" s="1"/>
      <c r="AA57" s="1"/>
      <c r="AB57" s="1"/>
      <c r="AC57" s="1"/>
      <c r="AD57" s="1"/>
      <c r="AE57" s="1"/>
      <c r="AF57" s="1"/>
      <c r="AG57" s="1"/>
      <c r="AH57" s="1"/>
    </row>
    <row r="58">
      <c r="D58" s="1" t="s">
        <v>37</v>
      </c>
      <c r="E58" s="1">
        <v>60.0</v>
      </c>
      <c r="F58" s="1">
        <v>20.0</v>
      </c>
      <c r="H58" s="1">
        <v>472821.683719946</v>
      </c>
      <c r="I58" s="1">
        <v>5.22601747512817</v>
      </c>
      <c r="J58" s="1">
        <v>567219.0</v>
      </c>
      <c r="K58" s="1">
        <v>511865.999999999</v>
      </c>
      <c r="L58" s="1">
        <v>511865.999999999</v>
      </c>
      <c r="M58" s="1">
        <v>22.9776518344879</v>
      </c>
      <c r="N58" s="1">
        <v>2485.0</v>
      </c>
      <c r="O58" s="5">
        <f t="shared" si="4"/>
        <v>0</v>
      </c>
      <c r="Q58" s="1">
        <v>473066.823059658</v>
      </c>
      <c r="S58" s="1">
        <v>17.8663351535797</v>
      </c>
      <c r="U58" s="1">
        <v>83953.8580741632</v>
      </c>
      <c r="V58" s="1">
        <v>18.231805562973</v>
      </c>
      <c r="X58" s="1">
        <v>465298.363964143</v>
      </c>
      <c r="Y58" s="1">
        <v>7.3705141544342</v>
      </c>
      <c r="Z58" s="1"/>
      <c r="AA58" s="1"/>
      <c r="AB58" s="1"/>
      <c r="AC58" s="1"/>
      <c r="AD58" s="1"/>
      <c r="AE58" s="1"/>
      <c r="AF58" s="1"/>
      <c r="AG58" s="1"/>
      <c r="AH58" s="1"/>
    </row>
    <row r="59">
      <c r="D59" s="1" t="s">
        <v>38</v>
      </c>
      <c r="E59" s="1">
        <v>60.0</v>
      </c>
      <c r="F59" s="1">
        <v>20.0</v>
      </c>
      <c r="H59" s="1">
        <v>419892.224708048</v>
      </c>
      <c r="I59" s="1">
        <v>5.20548391342163</v>
      </c>
      <c r="J59" s="1">
        <v>445482.0</v>
      </c>
      <c r="K59" s="1">
        <v>442692.0</v>
      </c>
      <c r="L59" s="1">
        <v>442692.0</v>
      </c>
      <c r="M59" s="1">
        <v>7.13459634780883</v>
      </c>
      <c r="N59" s="1">
        <v>293.0</v>
      </c>
      <c r="O59" s="5">
        <f t="shared" si="4"/>
        <v>0</v>
      </c>
      <c r="Q59" s="1">
        <v>420087.070911094</v>
      </c>
      <c r="S59" s="1">
        <v>20.7788503170013</v>
      </c>
      <c r="U59" s="1">
        <v>80207.6828176142</v>
      </c>
      <c r="V59" s="1">
        <v>2.55398297309875</v>
      </c>
      <c r="X59" s="1">
        <v>413330.830988391</v>
      </c>
      <c r="Y59" s="1">
        <v>9.96081638336181</v>
      </c>
      <c r="Z59" s="1"/>
      <c r="AA59" s="1"/>
      <c r="AB59" s="1"/>
      <c r="AC59" s="1"/>
      <c r="AD59" s="1"/>
      <c r="AE59" s="1"/>
      <c r="AF59" s="1"/>
      <c r="AG59" s="1"/>
      <c r="AH59" s="1"/>
    </row>
    <row r="60">
      <c r="D60" s="1" t="s">
        <v>39</v>
      </c>
      <c r="E60" s="1">
        <v>60.0</v>
      </c>
      <c r="F60" s="1">
        <v>20.0</v>
      </c>
      <c r="H60" s="1">
        <v>441383.320763919</v>
      </c>
      <c r="I60" s="1">
        <v>5.21442437171936</v>
      </c>
      <c r="J60" s="1">
        <v>484624.999999999</v>
      </c>
      <c r="K60" s="1">
        <v>484624.999999999</v>
      </c>
      <c r="L60" s="1">
        <v>484624.999999999</v>
      </c>
      <c r="M60" s="1">
        <v>21.1195178031921</v>
      </c>
      <c r="N60" s="1">
        <v>2453.0</v>
      </c>
      <c r="O60" s="5">
        <f t="shared" si="4"/>
        <v>0</v>
      </c>
      <c r="Q60" s="1">
        <v>441555.858044637</v>
      </c>
      <c r="S60" s="1">
        <v>36.835021495819</v>
      </c>
      <c r="U60" s="1">
        <v>79797.2656379814</v>
      </c>
      <c r="V60" s="1">
        <v>2.57053661346435</v>
      </c>
      <c r="X60" s="1">
        <v>434613.92378843</v>
      </c>
      <c r="Y60" s="1">
        <v>10.4764144420623</v>
      </c>
      <c r="Z60" s="1"/>
      <c r="AA60" s="1"/>
      <c r="AB60" s="1"/>
      <c r="AC60" s="1"/>
      <c r="AD60" s="1"/>
      <c r="AE60" s="1"/>
      <c r="AF60" s="1"/>
      <c r="AG60" s="1"/>
      <c r="AH60" s="1"/>
    </row>
    <row r="61">
      <c r="D61" s="1" t="s">
        <v>40</v>
      </c>
      <c r="E61" s="1">
        <v>60.0</v>
      </c>
      <c r="F61" s="1">
        <v>20.0</v>
      </c>
      <c r="H61" s="1">
        <v>443667.730091697</v>
      </c>
      <c r="I61" s="1">
        <v>5.22815132141113</v>
      </c>
      <c r="J61" s="1">
        <v>463184.0</v>
      </c>
      <c r="K61" s="1">
        <v>458613.999999999</v>
      </c>
      <c r="L61" s="1">
        <v>458613.999999999</v>
      </c>
      <c r="M61" s="1">
        <v>8.90902209281921</v>
      </c>
      <c r="N61" s="1">
        <v>559.0</v>
      </c>
      <c r="O61" s="5">
        <f t="shared" si="4"/>
        <v>0</v>
      </c>
      <c r="Q61" s="1">
        <v>443864.248998408</v>
      </c>
      <c r="S61" s="1">
        <v>11.9219419956207</v>
      </c>
      <c r="U61" s="1">
        <v>83140.0015773846</v>
      </c>
      <c r="V61" s="1">
        <v>2.47279930114746</v>
      </c>
      <c r="X61" s="1">
        <v>437169.429288148</v>
      </c>
      <c r="Y61" s="1">
        <v>6.7691740989685</v>
      </c>
      <c r="Z61" s="1"/>
      <c r="AA61" s="1"/>
      <c r="AB61" s="1"/>
      <c r="AC61" s="1"/>
      <c r="AD61" s="1"/>
      <c r="AE61" s="1"/>
      <c r="AF61" s="1"/>
      <c r="AG61" s="1"/>
      <c r="AH61" s="1"/>
    </row>
    <row r="62">
      <c r="D62" s="1" t="s">
        <v>41</v>
      </c>
      <c r="E62" s="1">
        <v>60.0</v>
      </c>
      <c r="F62" s="1">
        <v>20.0</v>
      </c>
      <c r="H62" s="1">
        <v>460295.179819593</v>
      </c>
      <c r="I62" s="1">
        <v>5.21684122085571</v>
      </c>
      <c r="J62" s="1">
        <v>505853.0</v>
      </c>
      <c r="K62" s="1">
        <v>490944.0</v>
      </c>
      <c r="L62" s="1">
        <v>490944.0</v>
      </c>
      <c r="M62" s="1">
        <v>11.7618355751037</v>
      </c>
      <c r="N62" s="1">
        <v>909.0</v>
      </c>
      <c r="O62" s="5">
        <f t="shared" si="4"/>
        <v>0</v>
      </c>
      <c r="Q62" s="1">
        <v>460509.216049791</v>
      </c>
      <c r="S62" s="1">
        <v>17.333030462265</v>
      </c>
      <c r="U62" s="1">
        <v>81179.4592362999</v>
      </c>
      <c r="V62" s="1">
        <v>2.34711170196533</v>
      </c>
      <c r="X62" s="1">
        <v>453682.659967946</v>
      </c>
      <c r="Y62" s="1">
        <v>7.50932240486145</v>
      </c>
      <c r="Z62" s="1"/>
      <c r="AA62" s="1"/>
      <c r="AB62" s="1"/>
      <c r="AC62" s="1"/>
      <c r="AD62" s="1"/>
      <c r="AE62" s="1"/>
      <c r="AF62" s="1"/>
      <c r="AG62" s="1"/>
      <c r="AH62" s="1"/>
    </row>
    <row r="63">
      <c r="D63" s="1" t="s">
        <v>42</v>
      </c>
      <c r="E63" s="1">
        <v>60.0</v>
      </c>
      <c r="F63" s="1">
        <v>20.0</v>
      </c>
      <c r="H63" s="1">
        <v>444588.060346295</v>
      </c>
      <c r="I63" s="1">
        <v>5.24056363105773</v>
      </c>
      <c r="J63" s="1">
        <v>507098.999999999</v>
      </c>
      <c r="K63" s="1">
        <v>480759.999999999</v>
      </c>
      <c r="L63" s="1">
        <v>480759.999999999</v>
      </c>
      <c r="M63" s="1">
        <v>24.7726421356201</v>
      </c>
      <c r="N63" s="1">
        <v>2577.0</v>
      </c>
      <c r="O63" s="5">
        <f t="shared" si="4"/>
        <v>0</v>
      </c>
      <c r="Q63" s="1">
        <v>444810.342264177</v>
      </c>
      <c r="S63" s="1">
        <v>17.2935402393341</v>
      </c>
      <c r="U63" s="1">
        <v>82060.0021384979</v>
      </c>
      <c r="V63" s="1">
        <v>2.46835160255432</v>
      </c>
      <c r="X63" s="1">
        <v>435667.688255252</v>
      </c>
      <c r="Y63" s="1">
        <v>9.65658020973205</v>
      </c>
      <c r="Z63" s="1"/>
      <c r="AA63" s="1"/>
      <c r="AB63" s="1"/>
      <c r="AC63" s="1"/>
      <c r="AD63" s="1"/>
      <c r="AE63" s="1"/>
      <c r="AF63" s="1"/>
      <c r="AG63" s="1"/>
      <c r="AH63" s="1"/>
    </row>
    <row r="64">
      <c r="D64" s="1" t="s">
        <v>43</v>
      </c>
      <c r="E64" s="1">
        <v>60.0</v>
      </c>
      <c r="F64" s="1">
        <v>20.0</v>
      </c>
      <c r="H64" s="1">
        <v>465584.275161924</v>
      </c>
      <c r="I64" s="1">
        <v>5.24599719047546</v>
      </c>
      <c r="J64" s="1">
        <v>512520.0</v>
      </c>
      <c r="K64" s="1">
        <v>501423.999999999</v>
      </c>
      <c r="L64" s="1">
        <v>501423.999999999</v>
      </c>
      <c r="M64" s="1">
        <v>9.85171437263488</v>
      </c>
      <c r="N64" s="1">
        <v>671.0</v>
      </c>
      <c r="O64" s="5">
        <f t="shared" si="4"/>
        <v>0</v>
      </c>
      <c r="Q64" s="1">
        <v>465833.252389112</v>
      </c>
      <c r="S64" s="1">
        <v>28.7367477416992</v>
      </c>
      <c r="U64" s="1">
        <v>80000.6669594351</v>
      </c>
      <c r="V64" s="1">
        <v>2.39548921585083</v>
      </c>
      <c r="X64" s="1">
        <v>459000.082935791</v>
      </c>
      <c r="Y64" s="1">
        <v>7.42673158645629</v>
      </c>
      <c r="Z64" s="1"/>
      <c r="AA64" s="1"/>
      <c r="AB64" s="1"/>
      <c r="AC64" s="1"/>
      <c r="AD64" s="1"/>
      <c r="AE64" s="1"/>
      <c r="AF64" s="1"/>
      <c r="AG64" s="1"/>
      <c r="AH64" s="1"/>
    </row>
    <row r="65">
      <c r="D65" s="1" t="s">
        <v>44</v>
      </c>
      <c r="E65" s="1">
        <v>60.0</v>
      </c>
      <c r="F65" s="1">
        <v>20.0</v>
      </c>
      <c r="H65" s="1">
        <v>436972.241551719</v>
      </c>
      <c r="I65" s="1">
        <v>5.19017148017883</v>
      </c>
      <c r="J65" s="1">
        <v>499549.0</v>
      </c>
      <c r="K65" s="1">
        <v>468012.999999999</v>
      </c>
      <c r="L65" s="1">
        <v>468012.999999999</v>
      </c>
      <c r="M65" s="1">
        <v>15.5505716800689</v>
      </c>
      <c r="N65" s="1">
        <v>1433.0</v>
      </c>
      <c r="O65" s="5">
        <f t="shared" si="4"/>
        <v>0</v>
      </c>
      <c r="Q65" s="1">
        <v>437177.603720487</v>
      </c>
      <c r="S65" s="1">
        <v>18.0276520252227</v>
      </c>
      <c r="U65" s="1">
        <v>82742.3895294739</v>
      </c>
      <c r="V65" s="1">
        <v>4.05500960350036</v>
      </c>
      <c r="X65" s="1">
        <v>430618.872203083</v>
      </c>
      <c r="Y65" s="1">
        <v>7.67315340042114</v>
      </c>
      <c r="Z65" s="1"/>
      <c r="AA65" s="1"/>
      <c r="AB65" s="1"/>
      <c r="AC65" s="1"/>
      <c r="AD65" s="1"/>
      <c r="AE65" s="1"/>
      <c r="AF65" s="1"/>
      <c r="AG65" s="1"/>
      <c r="AH65" s="1"/>
    </row>
    <row r="66">
      <c r="D66" s="1" t="s">
        <v>45</v>
      </c>
      <c r="E66" s="1">
        <v>60.0</v>
      </c>
      <c r="F66" s="1">
        <v>20.0</v>
      </c>
      <c r="H66" s="1">
        <v>438724.233237206</v>
      </c>
      <c r="I66" s="1">
        <v>5.2470326423645</v>
      </c>
      <c r="J66" s="1">
        <v>459368.0</v>
      </c>
      <c r="K66" s="1">
        <v>459368.0</v>
      </c>
      <c r="L66" s="1">
        <v>459368.0</v>
      </c>
      <c r="M66" s="1">
        <v>7.37527227401733</v>
      </c>
      <c r="N66" s="1">
        <v>323.0</v>
      </c>
      <c r="O66" s="5">
        <f t="shared" si="4"/>
        <v>0</v>
      </c>
      <c r="Q66" s="1">
        <v>438923.360865606</v>
      </c>
      <c r="S66" s="1">
        <v>21.5640912055969</v>
      </c>
      <c r="U66" s="1">
        <v>82947.008861575</v>
      </c>
      <c r="V66" s="1">
        <v>2.76729416847229</v>
      </c>
      <c r="X66" s="1">
        <v>432276.854763987</v>
      </c>
      <c r="Y66" s="1">
        <v>6.9804401397705</v>
      </c>
      <c r="Z66" s="1"/>
      <c r="AA66" s="1"/>
      <c r="AB66" s="1"/>
      <c r="AC66" s="1"/>
      <c r="AD66" s="1"/>
      <c r="AE66" s="1"/>
      <c r="AF66" s="1"/>
      <c r="AG66" s="1"/>
      <c r="AH66" s="1"/>
    </row>
    <row r="67">
      <c r="D67" s="1"/>
      <c r="E67" s="6">
        <f t="shared" ref="E67:F67" si="5">AVERAGE(E37:E66)</f>
        <v>60</v>
      </c>
      <c r="F67" s="6">
        <f t="shared" si="5"/>
        <v>20</v>
      </c>
      <c r="H67" s="6">
        <f t="shared" ref="H67:O67" si="6">AVERAGE(H37:H66)</f>
        <v>449316.4236</v>
      </c>
      <c r="I67" s="6">
        <f t="shared" si="6"/>
        <v>5.239899898</v>
      </c>
      <c r="J67" s="6">
        <f t="shared" si="6"/>
        <v>504542.1</v>
      </c>
      <c r="K67" s="6">
        <f t="shared" si="6"/>
        <v>483439.4333</v>
      </c>
      <c r="L67" s="6">
        <f t="shared" si="6"/>
        <v>483439.4333</v>
      </c>
      <c r="M67" s="6">
        <f t="shared" si="6"/>
        <v>14.77746144</v>
      </c>
      <c r="N67" s="6">
        <f t="shared" si="6"/>
        <v>1338.6</v>
      </c>
      <c r="O67" s="6">
        <f t="shared" si="6"/>
        <v>0</v>
      </c>
      <c r="Q67" s="6">
        <f>AVERAGE(Q37:Q66)</f>
        <v>449527.778</v>
      </c>
      <c r="S67" s="6">
        <f>AVERAGE(S37:S66)</f>
        <v>21.85177242</v>
      </c>
    </row>
    <row r="68">
      <c r="D68" s="1" t="s">
        <v>16</v>
      </c>
      <c r="E68" s="1">
        <v>60.0</v>
      </c>
      <c r="F68" s="1">
        <v>25.0</v>
      </c>
      <c r="H68" s="1">
        <v>655370.78722695</v>
      </c>
      <c r="I68" s="1">
        <v>5.34748792648315</v>
      </c>
      <c r="J68" s="1">
        <v>669115.999999999</v>
      </c>
      <c r="K68" s="1">
        <v>669115.999999999</v>
      </c>
      <c r="L68" s="1">
        <v>669115.999999999</v>
      </c>
      <c r="M68" s="1">
        <v>6.78389596939086</v>
      </c>
      <c r="N68" s="1">
        <v>235.0</v>
      </c>
      <c r="O68" s="5">
        <f t="shared" ref="O68:O97" si="7">100*(K68-L68)/K68</f>
        <v>0</v>
      </c>
      <c r="Q68" s="1">
        <v>655625.455873075</v>
      </c>
      <c r="S68" s="1">
        <v>47.2843840122222</v>
      </c>
      <c r="U68" s="1">
        <v>88975.8477102084</v>
      </c>
      <c r="V68" s="1">
        <v>2.43671035766601</v>
      </c>
      <c r="X68" s="1">
        <v>647144.874069639</v>
      </c>
      <c r="Y68" s="1">
        <v>5.58843803405761</v>
      </c>
      <c r="Z68" s="1"/>
      <c r="AA68" s="1"/>
      <c r="AB68" s="1"/>
      <c r="AC68" s="1"/>
      <c r="AD68" s="1"/>
      <c r="AE68" s="1"/>
      <c r="AF68" s="1"/>
      <c r="AG68" s="1"/>
      <c r="AH68" s="1"/>
    </row>
    <row r="69">
      <c r="D69" s="1" t="s">
        <v>17</v>
      </c>
      <c r="E69" s="1">
        <v>60.0</v>
      </c>
      <c r="F69" s="1">
        <v>25.0</v>
      </c>
      <c r="H69" s="1">
        <v>772354.995813285</v>
      </c>
      <c r="I69" s="1">
        <v>5.37129545211792</v>
      </c>
      <c r="J69" s="1">
        <v>800687.0</v>
      </c>
      <c r="K69" s="1">
        <v>800687.0</v>
      </c>
      <c r="L69" s="1">
        <v>800687.0</v>
      </c>
      <c r="M69" s="1">
        <v>7.33968615531921</v>
      </c>
      <c r="N69" s="1">
        <v>307.0</v>
      </c>
      <c r="O69" s="5">
        <f t="shared" si="7"/>
        <v>0</v>
      </c>
      <c r="Q69" s="1">
        <v>772653.624056363</v>
      </c>
      <c r="S69" s="1">
        <v>15.8507661819458</v>
      </c>
      <c r="U69" s="1">
        <v>91194.1360662074</v>
      </c>
      <c r="V69" s="1">
        <v>2.52699375152587</v>
      </c>
      <c r="X69" s="1">
        <v>755140.581949223</v>
      </c>
      <c r="Y69" s="1">
        <v>5.86648631095886</v>
      </c>
      <c r="Z69" s="1"/>
      <c r="AA69" s="1"/>
      <c r="AB69" s="1"/>
      <c r="AC69" s="1"/>
      <c r="AD69" s="1"/>
      <c r="AE69" s="1"/>
      <c r="AF69" s="1"/>
      <c r="AG69" s="1"/>
      <c r="AH69" s="1"/>
    </row>
    <row r="70">
      <c r="D70" s="1" t="s">
        <v>18</v>
      </c>
      <c r="E70" s="1">
        <v>60.0</v>
      </c>
      <c r="F70" s="1">
        <v>25.0</v>
      </c>
      <c r="H70" s="1">
        <v>644642.075087238</v>
      </c>
      <c r="I70" s="1">
        <v>5.5674557685852</v>
      </c>
      <c r="J70" s="1">
        <v>649501.999999999</v>
      </c>
      <c r="K70" s="1">
        <v>649501.999999999</v>
      </c>
      <c r="L70" s="1">
        <v>649501.999999999</v>
      </c>
      <c r="M70" s="1">
        <v>6.45365667343139</v>
      </c>
      <c r="N70" s="1">
        <v>149.0</v>
      </c>
      <c r="O70" s="5">
        <f t="shared" si="7"/>
        <v>0</v>
      </c>
      <c r="Q70" s="1">
        <v>644819.465253601</v>
      </c>
      <c r="S70" s="1">
        <v>21.3820676803588</v>
      </c>
      <c r="U70" s="1">
        <v>90404.0031827876</v>
      </c>
      <c r="V70" s="1">
        <v>3.2879033088684</v>
      </c>
      <c r="X70" s="1">
        <v>637613.867313075</v>
      </c>
      <c r="Y70" s="1">
        <v>5.55547642707824</v>
      </c>
      <c r="Z70" s="1"/>
      <c r="AA70" s="1"/>
      <c r="AB70" s="1"/>
      <c r="AC70" s="1"/>
      <c r="AD70" s="1"/>
      <c r="AE70" s="1"/>
      <c r="AF70" s="1"/>
      <c r="AG70" s="1"/>
      <c r="AH70" s="1"/>
    </row>
    <row r="71">
      <c r="D71" s="1" t="s">
        <v>19</v>
      </c>
      <c r="E71" s="1">
        <v>60.0</v>
      </c>
      <c r="F71" s="1">
        <v>25.0</v>
      </c>
      <c r="H71" s="1">
        <v>736819.671611409</v>
      </c>
      <c r="I71" s="1">
        <v>5.32157897949218</v>
      </c>
      <c r="J71" s="1">
        <v>771736.0</v>
      </c>
      <c r="K71" s="1">
        <v>762488.999999999</v>
      </c>
      <c r="L71" s="1">
        <v>762488.999999999</v>
      </c>
      <c r="M71" s="1">
        <v>8.68230533599853</v>
      </c>
      <c r="N71" s="1">
        <v>461.0</v>
      </c>
      <c r="O71" s="5">
        <f t="shared" si="7"/>
        <v>0</v>
      </c>
      <c r="Q71" s="1">
        <v>737036.663920365</v>
      </c>
      <c r="S71" s="1">
        <v>19.3661386966705</v>
      </c>
      <c r="U71" s="1">
        <v>90261.8980590425</v>
      </c>
      <c r="V71" s="1">
        <v>2.51771283149719</v>
      </c>
      <c r="X71" s="1">
        <v>721985.469302201</v>
      </c>
      <c r="Y71" s="1">
        <v>6.25015425682067</v>
      </c>
      <c r="Z71" s="1"/>
      <c r="AA71" s="1"/>
      <c r="AB71" s="1"/>
      <c r="AC71" s="1"/>
      <c r="AD71" s="1"/>
      <c r="AE71" s="1"/>
      <c r="AF71" s="1"/>
      <c r="AG71" s="1"/>
      <c r="AH71" s="1"/>
    </row>
    <row r="72">
      <c r="D72" s="1" t="s">
        <v>20</v>
      </c>
      <c r="E72" s="1">
        <v>60.0</v>
      </c>
      <c r="F72" s="1">
        <v>25.0</v>
      </c>
      <c r="H72" s="1">
        <v>731670.602261023</v>
      </c>
      <c r="I72" s="1">
        <v>5.3569369316101</v>
      </c>
      <c r="J72" s="1">
        <v>742177.999999999</v>
      </c>
      <c r="K72" s="1">
        <v>742177.999999999</v>
      </c>
      <c r="L72" s="1">
        <v>742177.999999999</v>
      </c>
      <c r="M72" s="1">
        <v>6.38390898704528</v>
      </c>
      <c r="N72" s="1">
        <v>161.0</v>
      </c>
      <c r="O72" s="5">
        <f t="shared" si="7"/>
        <v>0</v>
      </c>
      <c r="Q72" s="1">
        <v>731931.603367801</v>
      </c>
      <c r="S72" s="1">
        <v>30.7375175952911</v>
      </c>
      <c r="U72" s="1">
        <v>91803.4848019082</v>
      </c>
      <c r="V72" s="1">
        <v>3.45594143867492</v>
      </c>
      <c r="X72" s="1">
        <v>716270.766477701</v>
      </c>
      <c r="Y72" s="1">
        <v>5.6375126838684</v>
      </c>
      <c r="Z72" s="1"/>
      <c r="AA72" s="1"/>
      <c r="AB72" s="1"/>
      <c r="AC72" s="1"/>
      <c r="AD72" s="1"/>
      <c r="AE72" s="1"/>
      <c r="AF72" s="1"/>
      <c r="AG72" s="1"/>
      <c r="AH72" s="1"/>
    </row>
    <row r="73">
      <c r="D73" s="1" t="s">
        <v>21</v>
      </c>
      <c r="E73" s="1">
        <v>60.0</v>
      </c>
      <c r="F73" s="1">
        <v>25.0</v>
      </c>
      <c r="H73" s="1">
        <v>722665.02411382</v>
      </c>
      <c r="I73" s="1">
        <v>5.3530855178833</v>
      </c>
      <c r="J73" s="1">
        <v>736994.999999999</v>
      </c>
      <c r="K73" s="1">
        <v>736994.999999999</v>
      </c>
      <c r="L73" s="1">
        <v>736994.999999999</v>
      </c>
      <c r="M73" s="1">
        <v>6.84119987487793</v>
      </c>
      <c r="N73" s="1">
        <v>239.0</v>
      </c>
      <c r="O73" s="5">
        <f t="shared" si="7"/>
        <v>0</v>
      </c>
      <c r="Q73" s="1">
        <v>722860.402440339</v>
      </c>
      <c r="S73" s="1">
        <v>28.1905002593994</v>
      </c>
      <c r="U73" s="1">
        <v>90732.4533213853</v>
      </c>
      <c r="V73" s="1">
        <v>2.440678358078</v>
      </c>
      <c r="X73" s="1">
        <v>712699.898432591</v>
      </c>
      <c r="Y73" s="1">
        <v>5.67302203178405</v>
      </c>
      <c r="Z73" s="1"/>
      <c r="AA73" s="1"/>
      <c r="AB73" s="1"/>
      <c r="AC73" s="1"/>
      <c r="AD73" s="1"/>
      <c r="AE73" s="1"/>
      <c r="AF73" s="1"/>
      <c r="AG73" s="1"/>
      <c r="AH73" s="1"/>
    </row>
    <row r="74">
      <c r="D74" s="1" t="s">
        <v>22</v>
      </c>
      <c r="E74" s="1">
        <v>60.0</v>
      </c>
      <c r="F74" s="1">
        <v>25.0</v>
      </c>
      <c r="H74" s="1">
        <v>744253.544073897</v>
      </c>
      <c r="I74" s="1">
        <v>5.36734366416931</v>
      </c>
      <c r="J74" s="1">
        <v>761899.999999999</v>
      </c>
      <c r="K74" s="1">
        <v>761899.999999999</v>
      </c>
      <c r="L74" s="1">
        <v>761899.999999999</v>
      </c>
      <c r="M74" s="1">
        <v>5.87837743759155</v>
      </c>
      <c r="N74" s="1">
        <v>81.0</v>
      </c>
      <c r="O74" s="5">
        <f t="shared" si="7"/>
        <v>0</v>
      </c>
      <c r="Q74" s="1">
        <v>744591.007806256</v>
      </c>
      <c r="S74" s="1">
        <v>37.0603392124176</v>
      </c>
      <c r="U74" s="1">
        <v>91002.9881164772</v>
      </c>
      <c r="V74" s="1">
        <v>2.63650393486022</v>
      </c>
      <c r="X74" s="1">
        <v>732664.174690949</v>
      </c>
      <c r="Y74" s="1">
        <v>4.90351319313049</v>
      </c>
      <c r="Z74" s="1"/>
      <c r="AA74" s="1"/>
      <c r="AB74" s="1"/>
      <c r="AC74" s="1"/>
      <c r="AD74" s="1"/>
      <c r="AE74" s="1"/>
      <c r="AF74" s="1"/>
      <c r="AG74" s="1"/>
      <c r="AH74" s="1"/>
    </row>
    <row r="75">
      <c r="D75" s="1" t="s">
        <v>23</v>
      </c>
      <c r="E75" s="1">
        <v>60.0</v>
      </c>
      <c r="F75" s="1">
        <v>25.0</v>
      </c>
      <c r="H75" s="1">
        <v>756173.151212427</v>
      </c>
      <c r="I75" s="1">
        <v>5.52688431739807</v>
      </c>
      <c r="J75" s="1">
        <v>823514.0</v>
      </c>
      <c r="K75" s="1">
        <v>800203.0</v>
      </c>
      <c r="L75" s="1">
        <v>800203.0</v>
      </c>
      <c r="M75" s="1">
        <v>10.0494260787963</v>
      </c>
      <c r="N75" s="1">
        <v>691.0</v>
      </c>
      <c r="O75" s="5">
        <f t="shared" si="7"/>
        <v>0</v>
      </c>
      <c r="Q75" s="1">
        <v>756372.140037288</v>
      </c>
      <c r="S75" s="1">
        <v>10.4912965297698</v>
      </c>
      <c r="U75" s="1">
        <v>89118.0650116183</v>
      </c>
      <c r="V75" s="1">
        <v>2.47179388999938</v>
      </c>
      <c r="X75" s="1">
        <v>743289.455457237</v>
      </c>
      <c r="Y75" s="1">
        <v>5.56969261169433</v>
      </c>
      <c r="Z75" s="1"/>
      <c r="AA75" s="1"/>
      <c r="AB75" s="1"/>
      <c r="AC75" s="1"/>
      <c r="AD75" s="1"/>
      <c r="AE75" s="1"/>
      <c r="AF75" s="1"/>
      <c r="AG75" s="1"/>
      <c r="AH75" s="1"/>
    </row>
    <row r="76">
      <c r="D76" s="1" t="s">
        <v>24</v>
      </c>
      <c r="E76" s="1">
        <v>60.0</v>
      </c>
      <c r="F76" s="1">
        <v>25.0</v>
      </c>
      <c r="H76" s="1">
        <v>741710.601603986</v>
      </c>
      <c r="I76" s="1">
        <v>5.33637428283691</v>
      </c>
      <c r="J76" s="1">
        <v>752287.999999999</v>
      </c>
      <c r="K76" s="1">
        <v>752061.999999999</v>
      </c>
      <c r="L76" s="1">
        <v>752061.999999999</v>
      </c>
      <c r="M76" s="1">
        <v>6.85765266418457</v>
      </c>
      <c r="N76" s="1">
        <v>243.0</v>
      </c>
      <c r="O76" s="5">
        <f t="shared" si="7"/>
        <v>0</v>
      </c>
      <c r="Q76" s="1">
        <v>741935.915032103</v>
      </c>
      <c r="S76" s="1">
        <v>20.7699847221374</v>
      </c>
      <c r="U76" s="1">
        <v>91181.2053799455</v>
      </c>
      <c r="V76" s="1">
        <v>2.62768101692199</v>
      </c>
      <c r="X76" s="1">
        <v>727499.47784979</v>
      </c>
      <c r="Y76" s="1">
        <v>7.5546703338623</v>
      </c>
      <c r="Z76" s="1"/>
      <c r="AA76" s="1"/>
      <c r="AB76" s="1"/>
      <c r="AC76" s="1"/>
      <c r="AD76" s="1"/>
      <c r="AE76" s="1"/>
      <c r="AF76" s="1"/>
      <c r="AG76" s="1"/>
      <c r="AH76" s="1"/>
    </row>
    <row r="77">
      <c r="D77" s="1" t="s">
        <v>25</v>
      </c>
      <c r="E77" s="1">
        <v>60.0</v>
      </c>
      <c r="F77" s="1">
        <v>25.0</v>
      </c>
      <c r="H77" s="1">
        <v>787348.80879708</v>
      </c>
      <c r="I77" s="1">
        <v>5.33810830116272</v>
      </c>
      <c r="J77" s="1">
        <v>816417.0</v>
      </c>
      <c r="K77" s="1">
        <v>813954.0</v>
      </c>
      <c r="L77" s="1">
        <v>813954.0</v>
      </c>
      <c r="M77" s="1">
        <v>7.44217634201049</v>
      </c>
      <c r="N77" s="1">
        <v>325.0</v>
      </c>
      <c r="O77" s="5">
        <f t="shared" si="7"/>
        <v>0</v>
      </c>
      <c r="Q77" s="1">
        <v>787624.176694642</v>
      </c>
      <c r="S77" s="1">
        <v>24.6850938796997</v>
      </c>
      <c r="U77" s="1">
        <v>91249.4981861157</v>
      </c>
      <c r="V77" s="1">
        <v>2.31353688240051</v>
      </c>
      <c r="X77" s="1">
        <v>772315.087938286</v>
      </c>
      <c r="Y77" s="1">
        <v>7.13633751869201</v>
      </c>
      <c r="Z77" s="1"/>
      <c r="AA77" s="1"/>
      <c r="AB77" s="1"/>
      <c r="AC77" s="1"/>
      <c r="AD77" s="1"/>
      <c r="AE77" s="1"/>
      <c r="AF77" s="1"/>
      <c r="AG77" s="1"/>
      <c r="AH77" s="1"/>
    </row>
    <row r="78">
      <c r="D78" s="1" t="s">
        <v>26</v>
      </c>
      <c r="E78" s="1">
        <v>60.0</v>
      </c>
      <c r="F78" s="1">
        <v>25.0</v>
      </c>
      <c r="H78" s="1">
        <v>765490.959887866</v>
      </c>
      <c r="I78" s="1">
        <v>5.34915995597839</v>
      </c>
      <c r="J78" s="1">
        <v>784561.0</v>
      </c>
      <c r="K78" s="1">
        <v>784420.0</v>
      </c>
      <c r="L78" s="1">
        <v>784420.0</v>
      </c>
      <c r="M78" s="1">
        <v>7.38675785064697</v>
      </c>
      <c r="N78" s="1">
        <v>307.0</v>
      </c>
      <c r="O78" s="5">
        <f t="shared" si="7"/>
        <v>0</v>
      </c>
      <c r="Q78" s="1">
        <v>765729.601693478</v>
      </c>
      <c r="S78" s="1">
        <v>15.3907489776611</v>
      </c>
      <c r="U78" s="1">
        <v>92704.9753237071</v>
      </c>
      <c r="V78" s="1">
        <v>2.55827713012695</v>
      </c>
      <c r="X78" s="1">
        <v>748675.994989937</v>
      </c>
      <c r="Y78" s="1">
        <v>14.2414503097534</v>
      </c>
      <c r="Z78" s="1"/>
      <c r="AA78" s="1"/>
      <c r="AB78" s="1"/>
      <c r="AC78" s="1"/>
      <c r="AD78" s="1"/>
      <c r="AE78" s="1"/>
      <c r="AF78" s="1"/>
      <c r="AG78" s="1"/>
      <c r="AH78" s="1"/>
    </row>
    <row r="79">
      <c r="D79" s="1" t="s">
        <v>27</v>
      </c>
      <c r="E79" s="1">
        <v>60.0</v>
      </c>
      <c r="F79" s="1">
        <v>25.0</v>
      </c>
      <c r="H79" s="1">
        <v>778069.750417519</v>
      </c>
      <c r="I79" s="1">
        <v>5.32966017723083</v>
      </c>
      <c r="J79" s="1">
        <v>821247.0</v>
      </c>
      <c r="K79" s="1">
        <v>803919.0</v>
      </c>
      <c r="L79" s="1">
        <v>803919.0</v>
      </c>
      <c r="M79" s="1">
        <v>7.31753206253051</v>
      </c>
      <c r="N79" s="1">
        <v>297.0</v>
      </c>
      <c r="O79" s="5">
        <f t="shared" si="7"/>
        <v>0</v>
      </c>
      <c r="Q79" s="1">
        <v>778310.73728418</v>
      </c>
      <c r="S79" s="1">
        <v>18.2210292816162</v>
      </c>
      <c r="U79" s="1">
        <v>88882.3452436635</v>
      </c>
      <c r="V79" s="1">
        <v>2.30525779724121</v>
      </c>
      <c r="X79" s="1">
        <v>758733.545733693</v>
      </c>
      <c r="Y79" s="1">
        <v>7.70222282409668</v>
      </c>
      <c r="Z79" s="1"/>
      <c r="AA79" s="1"/>
      <c r="AB79" s="1"/>
      <c r="AC79" s="1"/>
      <c r="AD79" s="1"/>
      <c r="AE79" s="1"/>
      <c r="AF79" s="1"/>
      <c r="AG79" s="1"/>
      <c r="AH79" s="1"/>
    </row>
    <row r="80">
      <c r="D80" s="1" t="s">
        <v>28</v>
      </c>
      <c r="E80" s="1">
        <v>60.0</v>
      </c>
      <c r="F80" s="1">
        <v>25.0</v>
      </c>
      <c r="H80" s="1">
        <v>736368.981247283</v>
      </c>
      <c r="I80" s="1">
        <v>5.35350441932678</v>
      </c>
      <c r="J80" s="1">
        <v>777558.0</v>
      </c>
      <c r="K80" s="1">
        <v>755158.0</v>
      </c>
      <c r="L80" s="1">
        <v>755158.0</v>
      </c>
      <c r="M80" s="1">
        <v>6.97700572013855</v>
      </c>
      <c r="N80" s="1">
        <v>233.0</v>
      </c>
      <c r="O80" s="5">
        <f t="shared" si="7"/>
        <v>0</v>
      </c>
      <c r="Q80" s="1">
        <v>736641.085369612</v>
      </c>
      <c r="S80" s="1">
        <v>17.3301742076873</v>
      </c>
      <c r="U80" s="1">
        <v>90504.0375567745</v>
      </c>
      <c r="V80" s="1">
        <v>2.42225193977355</v>
      </c>
      <c r="X80" s="1">
        <v>717755.70255698</v>
      </c>
      <c r="Y80" s="1">
        <v>10.1634328365325</v>
      </c>
      <c r="Z80" s="1"/>
      <c r="AA80" s="1"/>
      <c r="AB80" s="1"/>
      <c r="AC80" s="1"/>
      <c r="AD80" s="1"/>
      <c r="AE80" s="1"/>
      <c r="AF80" s="1"/>
      <c r="AG80" s="1"/>
      <c r="AH80" s="1"/>
    </row>
    <row r="81">
      <c r="D81" s="1" t="s">
        <v>29</v>
      </c>
      <c r="E81" s="1">
        <v>60.0</v>
      </c>
      <c r="F81" s="1">
        <v>25.0</v>
      </c>
      <c r="H81" s="1">
        <v>706233.801626038</v>
      </c>
      <c r="I81" s="1">
        <v>5.34797382354736</v>
      </c>
      <c r="J81" s="1">
        <v>730440.999999999</v>
      </c>
      <c r="K81" s="1">
        <v>730440.999999999</v>
      </c>
      <c r="L81" s="1">
        <v>730440.999999999</v>
      </c>
      <c r="M81" s="1">
        <v>7.42740631103515</v>
      </c>
      <c r="N81" s="1">
        <v>327.0</v>
      </c>
      <c r="O81" s="5">
        <f t="shared" si="7"/>
        <v>0</v>
      </c>
      <c r="Q81" s="1">
        <v>706497.079259857</v>
      </c>
      <c r="S81" s="1">
        <v>20.2451260089874</v>
      </c>
      <c r="U81" s="1">
        <v>88659.0021289891</v>
      </c>
      <c r="V81" s="1">
        <v>2.65677237510681</v>
      </c>
      <c r="X81" s="1">
        <v>697281.02200778</v>
      </c>
      <c r="Y81" s="1">
        <v>5.51106572151184</v>
      </c>
      <c r="Z81" s="1"/>
      <c r="AA81" s="1"/>
      <c r="AB81" s="1"/>
      <c r="AC81" s="1"/>
      <c r="AD81" s="1"/>
      <c r="AE81" s="1"/>
      <c r="AF81" s="1"/>
      <c r="AG81" s="1"/>
      <c r="AH81" s="1"/>
    </row>
    <row r="82">
      <c r="D82" s="1" t="s">
        <v>30</v>
      </c>
      <c r="E82" s="1">
        <v>60.0</v>
      </c>
      <c r="F82" s="1">
        <v>25.0</v>
      </c>
      <c r="H82" s="1">
        <v>797219.819675174</v>
      </c>
      <c r="I82" s="1">
        <v>5.3499059677124</v>
      </c>
      <c r="J82" s="1">
        <v>820880.0</v>
      </c>
      <c r="K82" s="1">
        <v>820879.999999999</v>
      </c>
      <c r="L82" s="1">
        <v>820879.999999999</v>
      </c>
      <c r="M82" s="1">
        <v>6.90862488746643</v>
      </c>
      <c r="N82" s="1">
        <v>235.0</v>
      </c>
      <c r="O82" s="5">
        <f t="shared" si="7"/>
        <v>0</v>
      </c>
      <c r="Q82" s="1">
        <v>797458.135599268</v>
      </c>
      <c r="S82" s="1">
        <v>15.5528078079223</v>
      </c>
      <c r="U82" s="1">
        <v>92296.618405421</v>
      </c>
      <c r="V82" s="1">
        <v>2.4093222618103</v>
      </c>
      <c r="X82" s="1">
        <v>784035.121604086</v>
      </c>
      <c r="Y82" s="1">
        <v>5.34727549552917</v>
      </c>
      <c r="Z82" s="1"/>
      <c r="AA82" s="1"/>
      <c r="AB82" s="1"/>
      <c r="AC82" s="1"/>
      <c r="AD82" s="1"/>
      <c r="AE82" s="1"/>
      <c r="AF82" s="1"/>
      <c r="AG82" s="1"/>
      <c r="AH82" s="1"/>
    </row>
    <row r="83">
      <c r="D83" s="1" t="s">
        <v>31</v>
      </c>
      <c r="E83" s="1">
        <v>60.0</v>
      </c>
      <c r="F83" s="1">
        <v>25.0</v>
      </c>
      <c r="H83" s="1">
        <v>780391.38317206</v>
      </c>
      <c r="I83" s="1">
        <v>5.35028839111328</v>
      </c>
      <c r="J83" s="1">
        <v>807999.999999999</v>
      </c>
      <c r="K83" s="1">
        <v>807999.999999999</v>
      </c>
      <c r="L83" s="1">
        <v>807999.999999999</v>
      </c>
      <c r="M83" s="1">
        <v>6.75744652748107</v>
      </c>
      <c r="N83" s="1">
        <v>219.0</v>
      </c>
      <c r="O83" s="5">
        <f t="shared" si="7"/>
        <v>0</v>
      </c>
      <c r="Q83" s="1">
        <v>780722.613697471</v>
      </c>
      <c r="S83" s="1">
        <v>36.2167847156524</v>
      </c>
      <c r="U83" s="1">
        <v>92188.0115311979</v>
      </c>
      <c r="V83" s="1">
        <v>2.86893200874328</v>
      </c>
      <c r="X83" s="1">
        <v>767763.485160937</v>
      </c>
      <c r="Y83" s="1">
        <v>8.71708393096923</v>
      </c>
      <c r="Z83" s="1"/>
      <c r="AA83" s="1"/>
      <c r="AB83" s="1"/>
      <c r="AC83" s="1"/>
      <c r="AD83" s="1"/>
      <c r="AE83" s="1"/>
      <c r="AF83" s="1"/>
      <c r="AG83" s="1"/>
      <c r="AH83" s="1"/>
    </row>
    <row r="84">
      <c r="D84" s="1" t="s">
        <v>32</v>
      </c>
      <c r="E84" s="1">
        <v>60.0</v>
      </c>
      <c r="F84" s="1">
        <v>25.0</v>
      </c>
      <c r="H84" s="1">
        <v>770363.612130268</v>
      </c>
      <c r="I84" s="1">
        <v>5.38078069686889</v>
      </c>
      <c r="J84" s="1">
        <v>805206.0</v>
      </c>
      <c r="K84" s="1">
        <v>796386.999999999</v>
      </c>
      <c r="L84" s="1">
        <v>796386.999999999</v>
      </c>
      <c r="M84" s="1">
        <v>10.4252431392669</v>
      </c>
      <c r="N84" s="1">
        <v>725.0</v>
      </c>
      <c r="O84" s="5">
        <f t="shared" si="7"/>
        <v>0</v>
      </c>
      <c r="Q84" s="1">
        <v>770602.841136711</v>
      </c>
      <c r="S84" s="1">
        <v>15.0019381046295</v>
      </c>
      <c r="U84" s="1">
        <v>91632.8329812844</v>
      </c>
      <c r="V84" s="1">
        <v>2.32864809036254</v>
      </c>
      <c r="X84" s="1">
        <v>750258.023152532</v>
      </c>
      <c r="Y84" s="1">
        <v>5.55133485794067</v>
      </c>
      <c r="Z84" s="1"/>
      <c r="AA84" s="1"/>
      <c r="AB84" s="1"/>
      <c r="AC84" s="1"/>
      <c r="AD84" s="1"/>
      <c r="AE84" s="1"/>
      <c r="AF84" s="1"/>
      <c r="AG84" s="1"/>
      <c r="AH84" s="1"/>
    </row>
    <row r="85">
      <c r="D85" s="1" t="s">
        <v>33</v>
      </c>
      <c r="E85" s="1">
        <v>60.0</v>
      </c>
      <c r="F85" s="1">
        <v>25.0</v>
      </c>
      <c r="H85" s="1">
        <v>825748.881647769</v>
      </c>
      <c r="I85" s="1">
        <v>5.33811163902282</v>
      </c>
      <c r="J85" s="1">
        <v>855366.999999999</v>
      </c>
      <c r="K85" s="1">
        <v>855366.999999999</v>
      </c>
      <c r="L85" s="1">
        <v>855366.999999999</v>
      </c>
      <c r="M85" s="1">
        <v>7.20374202728271</v>
      </c>
      <c r="N85" s="1">
        <v>275.0</v>
      </c>
      <c r="O85" s="5">
        <f t="shared" si="7"/>
        <v>0</v>
      </c>
      <c r="Q85" s="1">
        <v>825997.732859146</v>
      </c>
      <c r="S85" s="1">
        <v>27.6566357612609</v>
      </c>
      <c r="U85" s="1">
        <v>92782.9808211643</v>
      </c>
      <c r="V85" s="1">
        <v>2.33253169059753</v>
      </c>
      <c r="X85" s="1">
        <v>810022.521873538</v>
      </c>
      <c r="Y85" s="1">
        <v>8.11737871170044</v>
      </c>
      <c r="Z85" s="1"/>
      <c r="AA85" s="1"/>
      <c r="AB85" s="1"/>
      <c r="AC85" s="1"/>
      <c r="AD85" s="1"/>
      <c r="AE85" s="1"/>
      <c r="AF85" s="1"/>
      <c r="AG85" s="1"/>
      <c r="AH85" s="1"/>
    </row>
    <row r="86">
      <c r="D86" s="1" t="s">
        <v>34</v>
      </c>
      <c r="E86" s="1">
        <v>60.0</v>
      </c>
      <c r="F86" s="1">
        <v>25.0</v>
      </c>
      <c r="H86" s="1">
        <v>763118.192620745</v>
      </c>
      <c r="I86" s="1">
        <v>5.34688305854797</v>
      </c>
      <c r="J86" s="1">
        <v>800192.0</v>
      </c>
      <c r="K86" s="1">
        <v>793666.0</v>
      </c>
      <c r="L86" s="1">
        <v>793666.0</v>
      </c>
      <c r="M86" s="1">
        <v>9.26567077636718</v>
      </c>
      <c r="N86" s="1">
        <v>563.0</v>
      </c>
      <c r="O86" s="5">
        <f t="shared" si="7"/>
        <v>0</v>
      </c>
      <c r="Q86" s="1">
        <v>763349.261270111</v>
      </c>
      <c r="S86" s="1">
        <v>24.4732604026794</v>
      </c>
      <c r="U86" s="1">
        <v>90562.2027554944</v>
      </c>
      <c r="V86" s="1">
        <v>2.50512170791625</v>
      </c>
      <c r="X86" s="1">
        <v>747160.309301879</v>
      </c>
      <c r="Y86" s="1">
        <v>7.15901327133178</v>
      </c>
      <c r="Z86" s="1"/>
      <c r="AA86" s="1"/>
      <c r="AB86" s="1"/>
      <c r="AC86" s="1"/>
      <c r="AD86" s="1"/>
      <c r="AE86" s="1"/>
      <c r="AF86" s="1"/>
      <c r="AG86" s="1"/>
      <c r="AH86" s="1"/>
    </row>
    <row r="87">
      <c r="D87" s="1" t="s">
        <v>35</v>
      </c>
      <c r="E87" s="1">
        <v>60.0</v>
      </c>
      <c r="F87" s="1">
        <v>25.0</v>
      </c>
      <c r="H87" s="1">
        <v>723598.814746499</v>
      </c>
      <c r="I87" s="1">
        <v>5.34643936157226</v>
      </c>
      <c r="J87" s="1">
        <v>727207.0</v>
      </c>
      <c r="K87" s="1">
        <v>727207.0</v>
      </c>
      <c r="L87" s="1">
        <v>727207.0</v>
      </c>
      <c r="M87" s="1">
        <v>5.62926840782165</v>
      </c>
      <c r="N87" s="1">
        <v>49.0</v>
      </c>
      <c r="O87" s="5">
        <f t="shared" si="7"/>
        <v>0</v>
      </c>
      <c r="Q87" s="1">
        <v>723954.472614333</v>
      </c>
      <c r="S87" s="1">
        <v>28.7988762855529</v>
      </c>
      <c r="U87" s="1">
        <v>89721.9099693712</v>
      </c>
      <c r="V87" s="1">
        <v>2.41652750968933</v>
      </c>
      <c r="X87" s="1">
        <v>710398.802250788</v>
      </c>
      <c r="Y87" s="1">
        <v>6.20603537559509</v>
      </c>
      <c r="Z87" s="1"/>
      <c r="AA87" s="1"/>
      <c r="AB87" s="1"/>
      <c r="AC87" s="1"/>
      <c r="AD87" s="1"/>
      <c r="AE87" s="1"/>
      <c r="AF87" s="1"/>
      <c r="AG87" s="1"/>
      <c r="AH87" s="1"/>
    </row>
    <row r="88">
      <c r="D88" s="1" t="s">
        <v>36</v>
      </c>
      <c r="E88" s="1">
        <v>60.0</v>
      </c>
      <c r="F88" s="1">
        <v>25.0</v>
      </c>
      <c r="H88" s="1">
        <v>768550.760040866</v>
      </c>
      <c r="I88" s="1">
        <v>5.35441541671752</v>
      </c>
      <c r="J88" s="1">
        <v>805195.0</v>
      </c>
      <c r="K88" s="1">
        <v>788057.999999999</v>
      </c>
      <c r="L88" s="1">
        <v>788057.999999999</v>
      </c>
      <c r="M88" s="1">
        <v>8.61260604858398</v>
      </c>
      <c r="N88" s="1">
        <v>467.0</v>
      </c>
      <c r="O88" s="5">
        <f t="shared" si="7"/>
        <v>0</v>
      </c>
      <c r="Q88" s="1">
        <v>768792.717432508</v>
      </c>
      <c r="S88" s="1">
        <v>13.0934152603149</v>
      </c>
      <c r="U88" s="1">
        <v>90221.8899399918</v>
      </c>
      <c r="V88" s="1">
        <v>2.81366825103759</v>
      </c>
      <c r="X88" s="1">
        <v>748996.728532589</v>
      </c>
      <c r="Y88" s="1">
        <v>6.57475399971008</v>
      </c>
      <c r="Z88" s="1"/>
      <c r="AA88" s="1"/>
      <c r="AB88" s="1"/>
      <c r="AC88" s="1"/>
      <c r="AD88" s="1"/>
      <c r="AE88" s="1"/>
      <c r="AF88" s="1"/>
      <c r="AG88" s="1"/>
      <c r="AH88" s="1"/>
    </row>
    <row r="89">
      <c r="D89" s="1" t="s">
        <v>37</v>
      </c>
      <c r="E89" s="1">
        <v>60.0</v>
      </c>
      <c r="F89" s="1">
        <v>25.0</v>
      </c>
      <c r="H89" s="1">
        <v>777010.363712143</v>
      </c>
      <c r="I89" s="1">
        <v>5.44091916084289</v>
      </c>
      <c r="J89" s="1">
        <v>806656.999999999</v>
      </c>
      <c r="K89" s="1">
        <v>805755.999999999</v>
      </c>
      <c r="L89" s="1">
        <v>805755.999999999</v>
      </c>
      <c r="M89" s="1">
        <v>10.4295375347137</v>
      </c>
      <c r="N89" s="1">
        <v>747.0</v>
      </c>
      <c r="O89" s="5">
        <f t="shared" si="7"/>
        <v>0</v>
      </c>
      <c r="Q89" s="1">
        <v>777222.204599176</v>
      </c>
      <c r="S89" s="1">
        <v>18.1661303043365</v>
      </c>
      <c r="U89" s="1">
        <v>93638.4460936846</v>
      </c>
      <c r="V89" s="1">
        <v>2.76093912124633</v>
      </c>
      <c r="X89" s="1">
        <v>763910.491976664</v>
      </c>
      <c r="Y89" s="1">
        <v>6.28252124786376</v>
      </c>
      <c r="Z89" s="1"/>
      <c r="AA89" s="1"/>
      <c r="AB89" s="1"/>
      <c r="AC89" s="1"/>
      <c r="AD89" s="1"/>
      <c r="AE89" s="1"/>
      <c r="AF89" s="1"/>
      <c r="AG89" s="1"/>
      <c r="AH89" s="1"/>
    </row>
    <row r="90">
      <c r="D90" s="1" t="s">
        <v>38</v>
      </c>
      <c r="E90" s="1">
        <v>60.0</v>
      </c>
      <c r="F90" s="1">
        <v>25.0</v>
      </c>
      <c r="H90" s="1">
        <v>682131.258556851</v>
      </c>
      <c r="I90" s="1">
        <v>5.54289817810058</v>
      </c>
      <c r="J90" s="1">
        <v>697913.0</v>
      </c>
      <c r="K90" s="1">
        <v>697913.0</v>
      </c>
      <c r="L90" s="1">
        <v>697913.0</v>
      </c>
      <c r="M90" s="1">
        <v>6.76991629600524</v>
      </c>
      <c r="N90" s="1">
        <v>201.0</v>
      </c>
      <c r="O90" s="5">
        <f t="shared" si="7"/>
        <v>0</v>
      </c>
      <c r="Q90" s="1">
        <v>682378.087976247</v>
      </c>
      <c r="S90" s="1">
        <v>32.1393141746521</v>
      </c>
      <c r="U90" s="1">
        <v>90374.9939274096</v>
      </c>
      <c r="V90" s="1">
        <v>2.39612388610839</v>
      </c>
      <c r="X90" s="1">
        <v>677047.737602132</v>
      </c>
      <c r="Y90" s="1">
        <v>5.29146289825439</v>
      </c>
      <c r="Z90" s="1"/>
      <c r="AA90" s="1"/>
      <c r="AB90" s="1"/>
      <c r="AC90" s="1"/>
      <c r="AD90" s="1"/>
      <c r="AE90" s="1"/>
      <c r="AF90" s="1"/>
      <c r="AG90" s="1"/>
      <c r="AH90" s="1"/>
    </row>
    <row r="91">
      <c r="D91" s="1" t="s">
        <v>39</v>
      </c>
      <c r="E91" s="1">
        <v>60.0</v>
      </c>
      <c r="F91" s="1">
        <v>25.0</v>
      </c>
      <c r="H91" s="1">
        <v>734826.553402475</v>
      </c>
      <c r="I91" s="1">
        <v>5.35612988471984</v>
      </c>
      <c r="J91" s="1">
        <v>752571.999999999</v>
      </c>
      <c r="K91" s="1">
        <v>752571.999999999</v>
      </c>
      <c r="L91" s="1">
        <v>752571.999999999</v>
      </c>
      <c r="M91" s="1">
        <v>6.83146429061889</v>
      </c>
      <c r="N91" s="1">
        <v>241.0</v>
      </c>
      <c r="O91" s="5">
        <f t="shared" si="7"/>
        <v>0</v>
      </c>
      <c r="Q91" s="1">
        <v>735048.698537867</v>
      </c>
      <c r="S91" s="1">
        <v>32.8125040531158</v>
      </c>
      <c r="U91" s="1">
        <v>90495.2422437947</v>
      </c>
      <c r="V91" s="1">
        <v>5.28504753112793</v>
      </c>
      <c r="X91" s="1">
        <v>729117.574727318</v>
      </c>
      <c r="Y91" s="1">
        <v>5.8740074634552</v>
      </c>
      <c r="Z91" s="1"/>
      <c r="AA91" s="1"/>
      <c r="AB91" s="1"/>
      <c r="AC91" s="1"/>
      <c r="AD91" s="1"/>
      <c r="AE91" s="1"/>
      <c r="AF91" s="1"/>
      <c r="AG91" s="1"/>
      <c r="AH91" s="1"/>
    </row>
    <row r="92">
      <c r="D92" s="1" t="s">
        <v>40</v>
      </c>
      <c r="E92" s="1">
        <v>60.0</v>
      </c>
      <c r="F92" s="1">
        <v>25.0</v>
      </c>
      <c r="H92" s="1">
        <v>721507.417092038</v>
      </c>
      <c r="I92" s="1">
        <v>5.32503366470336</v>
      </c>
      <c r="J92" s="1">
        <v>728031.0</v>
      </c>
      <c r="K92" s="1">
        <v>728031.0</v>
      </c>
      <c r="L92" s="1">
        <v>728031.0</v>
      </c>
      <c r="M92" s="1">
        <v>6.11412692070007</v>
      </c>
      <c r="N92" s="1">
        <v>125.0</v>
      </c>
      <c r="O92" s="5">
        <f t="shared" si="7"/>
        <v>0</v>
      </c>
      <c r="Q92" s="1">
        <v>721708.366970238</v>
      </c>
      <c r="S92" s="1">
        <v>11.7622067928314</v>
      </c>
      <c r="U92" s="1">
        <v>92540.8761337491</v>
      </c>
      <c r="V92" s="1">
        <v>3.49330997467041</v>
      </c>
      <c r="X92" s="1">
        <v>707719.918076665</v>
      </c>
      <c r="Y92" s="1">
        <v>7.55108547210693</v>
      </c>
      <c r="Z92" s="1"/>
      <c r="AA92" s="1"/>
      <c r="AB92" s="1"/>
      <c r="AC92" s="1"/>
      <c r="AD92" s="1"/>
      <c r="AE92" s="1"/>
      <c r="AF92" s="1"/>
      <c r="AG92" s="1"/>
      <c r="AH92" s="1"/>
    </row>
    <row r="93">
      <c r="D93" s="1" t="s">
        <v>41</v>
      </c>
      <c r="E93" s="1">
        <v>60.0</v>
      </c>
      <c r="F93" s="1">
        <v>25.0</v>
      </c>
      <c r="H93" s="1">
        <v>765841.635047526</v>
      </c>
      <c r="I93" s="1">
        <v>5.51592135429382</v>
      </c>
      <c r="J93" s="1">
        <v>790613.0</v>
      </c>
      <c r="K93" s="1">
        <v>788438.999999999</v>
      </c>
      <c r="L93" s="1">
        <v>788438.999999999</v>
      </c>
      <c r="M93" s="1">
        <v>8.13648033142089</v>
      </c>
      <c r="N93" s="1">
        <v>365.0</v>
      </c>
      <c r="O93" s="5">
        <f t="shared" si="7"/>
        <v>0</v>
      </c>
      <c r="Q93" s="1">
        <v>766104.689182547</v>
      </c>
      <c r="S93" s="1">
        <v>24.8796074390411</v>
      </c>
      <c r="U93" s="1">
        <v>91141.0022453776</v>
      </c>
      <c r="V93" s="1">
        <v>2.74252223968505</v>
      </c>
      <c r="X93" s="1">
        <v>747919.964076682</v>
      </c>
      <c r="Y93" s="1">
        <v>9.24676394462585</v>
      </c>
      <c r="Z93" s="1"/>
      <c r="AA93" s="1"/>
      <c r="AB93" s="1"/>
      <c r="AC93" s="1"/>
      <c r="AD93" s="1"/>
      <c r="AE93" s="1"/>
      <c r="AF93" s="1"/>
      <c r="AG93" s="1"/>
      <c r="AH93" s="1"/>
    </row>
    <row r="94">
      <c r="D94" s="1" t="s">
        <v>42</v>
      </c>
      <c r="E94" s="1">
        <v>60.0</v>
      </c>
      <c r="F94" s="1">
        <v>25.0</v>
      </c>
      <c r="H94" s="1">
        <v>732056.134509617</v>
      </c>
      <c r="I94" s="1">
        <v>5.36610102653503</v>
      </c>
      <c r="J94" s="1">
        <v>766555.999999999</v>
      </c>
      <c r="K94" s="1">
        <v>752926.999999999</v>
      </c>
      <c r="L94" s="1">
        <v>752926.999999999</v>
      </c>
      <c r="M94" s="1">
        <v>7.93689036369323</v>
      </c>
      <c r="N94" s="1">
        <v>363.0</v>
      </c>
      <c r="O94" s="5">
        <f t="shared" si="7"/>
        <v>0</v>
      </c>
      <c r="Q94" s="1">
        <v>732303.62048869</v>
      </c>
      <c r="S94" s="1">
        <v>17.4332575798034</v>
      </c>
      <c r="U94" s="1">
        <v>91293.8149470567</v>
      </c>
      <c r="V94" s="1">
        <v>2.38828182220459</v>
      </c>
      <c r="X94" s="1">
        <v>713108.433408038</v>
      </c>
      <c r="Y94" s="1">
        <v>6.12171173095703</v>
      </c>
      <c r="Z94" s="1"/>
      <c r="AA94" s="1"/>
      <c r="AB94" s="1"/>
      <c r="AC94" s="1"/>
      <c r="AD94" s="1"/>
      <c r="AE94" s="1"/>
      <c r="AF94" s="1"/>
      <c r="AG94" s="1"/>
      <c r="AH94" s="1"/>
    </row>
    <row r="95">
      <c r="D95" s="1" t="s">
        <v>43</v>
      </c>
      <c r="E95" s="1">
        <v>60.0</v>
      </c>
      <c r="F95" s="1">
        <v>25.0</v>
      </c>
      <c r="H95" s="1">
        <v>781539.536568813</v>
      </c>
      <c r="I95" s="1">
        <v>5.37098026275634</v>
      </c>
      <c r="J95" s="1">
        <v>799907.0</v>
      </c>
      <c r="K95" s="1">
        <v>799907.0</v>
      </c>
      <c r="L95" s="1">
        <v>799907.0</v>
      </c>
      <c r="M95" s="1">
        <v>8.68892645835876</v>
      </c>
      <c r="N95" s="1">
        <v>527.0</v>
      </c>
      <c r="O95" s="5">
        <f t="shared" si="7"/>
        <v>0</v>
      </c>
      <c r="Q95" s="1">
        <v>781790.420332957</v>
      </c>
      <c r="S95" s="1">
        <v>22.0706846714019</v>
      </c>
      <c r="U95" s="1">
        <v>89675.2134916647</v>
      </c>
      <c r="V95" s="1">
        <v>2.82270240783691</v>
      </c>
      <c r="X95" s="1">
        <v>764957.574992905</v>
      </c>
      <c r="Y95" s="1">
        <v>6.83812403678894</v>
      </c>
      <c r="Z95" s="1"/>
      <c r="AA95" s="1"/>
      <c r="AB95" s="1"/>
      <c r="AC95" s="1"/>
      <c r="AD95" s="1"/>
      <c r="AE95" s="1"/>
      <c r="AF95" s="1"/>
      <c r="AG95" s="1"/>
      <c r="AH95" s="1"/>
    </row>
    <row r="96">
      <c r="D96" s="1" t="s">
        <v>44</v>
      </c>
      <c r="E96" s="1">
        <v>60.0</v>
      </c>
      <c r="F96" s="1">
        <v>25.0</v>
      </c>
      <c r="H96" s="1">
        <v>718652.536472033</v>
      </c>
      <c r="I96" s="1">
        <v>5.34186553955078</v>
      </c>
      <c r="J96" s="1">
        <v>741389.0</v>
      </c>
      <c r="K96" s="1">
        <v>740248.999999999</v>
      </c>
      <c r="L96" s="1">
        <v>740248.999999999</v>
      </c>
      <c r="M96" s="1">
        <v>10.8094329833984</v>
      </c>
      <c r="N96" s="1">
        <v>757.0</v>
      </c>
      <c r="O96" s="5">
        <f t="shared" si="7"/>
        <v>0</v>
      </c>
      <c r="Q96" s="1">
        <v>718899.456688725</v>
      </c>
      <c r="S96" s="1">
        <v>16.2637104988098</v>
      </c>
      <c r="U96" s="1">
        <v>92259.5312537676</v>
      </c>
      <c r="V96" s="1">
        <v>3.78798246383667</v>
      </c>
      <c r="X96" s="1">
        <v>702215.211428285</v>
      </c>
      <c r="Y96" s="1">
        <v>4.92803311347961</v>
      </c>
      <c r="Z96" s="1"/>
      <c r="AA96" s="1"/>
      <c r="AB96" s="1"/>
      <c r="AC96" s="1"/>
      <c r="AD96" s="1"/>
      <c r="AE96" s="1"/>
      <c r="AF96" s="1"/>
      <c r="AG96" s="1"/>
      <c r="AH96" s="1"/>
    </row>
    <row r="97">
      <c r="D97" s="1" t="s">
        <v>45</v>
      </c>
      <c r="E97" s="1">
        <v>60.0</v>
      </c>
      <c r="F97" s="1">
        <v>25.0</v>
      </c>
      <c r="H97" s="1">
        <v>723173.381947114</v>
      </c>
      <c r="I97" s="1">
        <v>5.52080655097961</v>
      </c>
      <c r="J97" s="1">
        <v>731134.0</v>
      </c>
      <c r="K97" s="1">
        <v>731134.0</v>
      </c>
      <c r="L97" s="1">
        <v>731134.0</v>
      </c>
      <c r="M97" s="1">
        <v>6.67090702056884</v>
      </c>
      <c r="N97" s="1">
        <v>189.0</v>
      </c>
      <c r="O97" s="5">
        <f t="shared" si="7"/>
        <v>0</v>
      </c>
      <c r="Q97" s="1">
        <v>723407.935280672</v>
      </c>
      <c r="S97" s="1">
        <v>28.5705597400665</v>
      </c>
      <c r="U97" s="1">
        <v>92441.9931227775</v>
      </c>
      <c r="V97" s="1">
        <v>2.56894922256469</v>
      </c>
      <c r="X97" s="1">
        <v>712092.434032396</v>
      </c>
      <c r="Y97" s="1">
        <v>6.03028106689453</v>
      </c>
      <c r="Z97" s="1"/>
      <c r="AA97" s="1"/>
      <c r="AB97" s="1"/>
      <c r="AC97" s="1"/>
      <c r="AD97" s="1"/>
      <c r="AE97" s="1"/>
      <c r="AF97" s="1"/>
      <c r="AG97" s="1"/>
      <c r="AH97" s="1"/>
    </row>
    <row r="98">
      <c r="D98" s="1"/>
      <c r="E98" s="6">
        <f t="shared" ref="E98:F98" si="8">AVERAGE(E68:E97)</f>
        <v>60</v>
      </c>
      <c r="F98" s="6">
        <f t="shared" si="8"/>
        <v>25</v>
      </c>
      <c r="H98" s="6">
        <f t="shared" ref="H98:O98" si="9">AVERAGE(H68:H97)</f>
        <v>744830.1012</v>
      </c>
      <c r="I98" s="6">
        <f t="shared" si="9"/>
        <v>5.383810989</v>
      </c>
      <c r="J98" s="6">
        <f t="shared" si="9"/>
        <v>769165.3</v>
      </c>
      <c r="K98" s="6">
        <f t="shared" si="9"/>
        <v>764983.9</v>
      </c>
      <c r="L98" s="6">
        <f t="shared" si="9"/>
        <v>764983.9</v>
      </c>
      <c r="M98" s="6">
        <f t="shared" si="9"/>
        <v>7.633709049</v>
      </c>
      <c r="N98" s="6">
        <f t="shared" si="9"/>
        <v>336.8</v>
      </c>
      <c r="O98" s="6">
        <f t="shared" si="9"/>
        <v>0</v>
      </c>
      <c r="Q98" s="6">
        <f>AVERAGE(Q68:Q97)</f>
        <v>745079.0071</v>
      </c>
      <c r="S98" s="6">
        <f>AVERAGE(S68:S97)</f>
        <v>23.06322869</v>
      </c>
    </row>
    <row r="99">
      <c r="D99" s="1" t="s">
        <v>16</v>
      </c>
      <c r="E99" s="1">
        <v>60.0</v>
      </c>
      <c r="F99" s="1">
        <v>30.0</v>
      </c>
      <c r="H99" s="1">
        <v>1011414.47104613</v>
      </c>
      <c r="I99" s="1">
        <v>5.67708873748779</v>
      </c>
      <c r="J99" s="1">
        <v>1012379.99999999</v>
      </c>
      <c r="K99" s="1">
        <v>1012379.99999999</v>
      </c>
      <c r="L99" s="1">
        <v>1012379.99999999</v>
      </c>
      <c r="M99" s="1">
        <v>6.05702972412109</v>
      </c>
      <c r="N99" s="1">
        <v>65.0</v>
      </c>
      <c r="O99" s="5">
        <f t="shared" ref="O99:O128" si="10">100*(K99-L99)/K99</f>
        <v>0</v>
      </c>
      <c r="Q99" s="1">
        <v>1011469.82472724</v>
      </c>
      <c r="S99" s="1">
        <v>15.1593012809753</v>
      </c>
      <c r="U99" s="1">
        <v>100739.423891181</v>
      </c>
      <c r="V99" s="1">
        <v>4.50954246520996</v>
      </c>
      <c r="X99" s="1">
        <v>1003014.67378658</v>
      </c>
      <c r="Y99" s="1">
        <v>10.724894285202</v>
      </c>
      <c r="Z99" s="1"/>
      <c r="AA99" s="1"/>
      <c r="AB99" s="1"/>
      <c r="AC99" s="1"/>
      <c r="AD99" s="1"/>
      <c r="AE99" s="1"/>
      <c r="AF99" s="1"/>
      <c r="AG99" s="1"/>
      <c r="AH99" s="1"/>
    </row>
    <row r="100">
      <c r="D100" s="1" t="s">
        <v>17</v>
      </c>
      <c r="E100" s="1">
        <v>60.0</v>
      </c>
      <c r="F100" s="1">
        <v>30.0</v>
      </c>
      <c r="H100" s="1">
        <v>1216374.899957</v>
      </c>
      <c r="I100" s="1">
        <v>5.70322012901306</v>
      </c>
      <c r="J100" s="1">
        <v>1232753.0</v>
      </c>
      <c r="K100" s="1">
        <v>1232752.99999999</v>
      </c>
      <c r="L100" s="1">
        <v>1232752.99999999</v>
      </c>
      <c r="M100" s="1">
        <v>7.22255229949951</v>
      </c>
      <c r="N100" s="1">
        <v>221.0</v>
      </c>
      <c r="O100" s="5">
        <f t="shared" si="10"/>
        <v>0</v>
      </c>
      <c r="Q100" s="1">
        <v>1216648.38674096</v>
      </c>
      <c r="S100" s="1">
        <v>16.4451882839202</v>
      </c>
      <c r="U100" s="1">
        <v>102491.0542572</v>
      </c>
      <c r="V100" s="1">
        <v>2.62755060195922</v>
      </c>
      <c r="X100" s="1">
        <v>1175344.74158839</v>
      </c>
      <c r="Y100" s="1">
        <v>7.36935687065124</v>
      </c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D101" s="1" t="s">
        <v>18</v>
      </c>
      <c r="E101" s="1">
        <v>60.0</v>
      </c>
      <c r="F101" s="1">
        <v>30.0</v>
      </c>
      <c r="H101" s="1">
        <v>994924.979761637</v>
      </c>
      <c r="I101" s="1">
        <v>5.45899701118469</v>
      </c>
      <c r="J101" s="1">
        <v>994924.999999999</v>
      </c>
      <c r="K101" s="1">
        <v>994924.999999999</v>
      </c>
      <c r="L101" s="1">
        <v>994924.999999999</v>
      </c>
      <c r="M101" s="1">
        <v>5.75360536575317</v>
      </c>
      <c r="N101" s="1">
        <v>51.0</v>
      </c>
      <c r="O101" s="5">
        <f t="shared" si="10"/>
        <v>0</v>
      </c>
      <c r="Q101" s="1">
        <v>994924.228311113</v>
      </c>
      <c r="S101" s="1">
        <v>4.25703454017639</v>
      </c>
      <c r="U101" s="1">
        <v>101249.999061979</v>
      </c>
      <c r="V101" s="1">
        <v>3.28126764297485</v>
      </c>
      <c r="X101" s="1">
        <v>990861.55999956</v>
      </c>
      <c r="Y101" s="1">
        <v>17.1137726306915</v>
      </c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D102" s="1" t="s">
        <v>19</v>
      </c>
      <c r="E102" s="1">
        <v>60.0</v>
      </c>
      <c r="F102" s="1">
        <v>30.0</v>
      </c>
      <c r="H102" s="1">
        <v>1133947.15074233</v>
      </c>
      <c r="I102" s="1">
        <v>5.50168538093566</v>
      </c>
      <c r="J102" s="1">
        <v>1162668.99999999</v>
      </c>
      <c r="K102" s="1">
        <v>1153262.99999999</v>
      </c>
      <c r="L102" s="1">
        <v>1153262.99999999</v>
      </c>
      <c r="M102" s="1">
        <v>8.41015744209289</v>
      </c>
      <c r="N102" s="1">
        <v>431.0</v>
      </c>
      <c r="O102" s="5">
        <f t="shared" si="10"/>
        <v>0</v>
      </c>
      <c r="Q102" s="1">
        <v>1134189.2419763</v>
      </c>
      <c r="S102" s="1">
        <v>16.2194192409515</v>
      </c>
      <c r="U102" s="1">
        <v>101818.386796656</v>
      </c>
      <c r="V102" s="1">
        <v>3.17037653923034</v>
      </c>
      <c r="X102" s="1">
        <v>1108150.89834699</v>
      </c>
      <c r="Y102" s="1">
        <v>5.11276817321777</v>
      </c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D103" s="1" t="s">
        <v>20</v>
      </c>
      <c r="E103" s="1">
        <v>60.0</v>
      </c>
      <c r="F103" s="1">
        <v>30.0</v>
      </c>
      <c r="H103" s="1">
        <v>1110327.76135369</v>
      </c>
      <c r="I103" s="1">
        <v>5.71000933647155</v>
      </c>
      <c r="J103" s="1">
        <v>1120844.99999999</v>
      </c>
      <c r="K103" s="1">
        <v>1120844.99999999</v>
      </c>
      <c r="L103" s="1">
        <v>1120844.99999999</v>
      </c>
      <c r="M103" s="1">
        <v>7.10024976730346</v>
      </c>
      <c r="N103" s="1">
        <v>217.0</v>
      </c>
      <c r="O103" s="5">
        <f t="shared" si="10"/>
        <v>0</v>
      </c>
      <c r="Q103" s="1">
        <v>1110737.19560584</v>
      </c>
      <c r="S103" s="1">
        <v>25.4078700542449</v>
      </c>
      <c r="U103" s="1">
        <v>103062.954165345</v>
      </c>
      <c r="V103" s="1">
        <v>2.62633228302001</v>
      </c>
      <c r="X103" s="1">
        <v>1091929.05185679</v>
      </c>
      <c r="Y103" s="1">
        <v>5.43244314193725</v>
      </c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D104" s="1" t="s">
        <v>21</v>
      </c>
      <c r="E104" s="1">
        <v>60.0</v>
      </c>
      <c r="F104" s="1">
        <v>30.0</v>
      </c>
      <c r="H104" s="1">
        <v>1140143.90738592</v>
      </c>
      <c r="I104" s="1">
        <v>5.45456528663635</v>
      </c>
      <c r="J104" s="1">
        <v>1144649.99999999</v>
      </c>
      <c r="K104" s="1">
        <v>1144649.99999999</v>
      </c>
      <c r="L104" s="1">
        <v>1144649.99999999</v>
      </c>
      <c r="M104" s="1">
        <v>5.84899544715881</v>
      </c>
      <c r="N104" s="1">
        <v>67.0</v>
      </c>
      <c r="O104" s="5">
        <f t="shared" si="10"/>
        <v>0</v>
      </c>
      <c r="Q104" s="1">
        <v>1140433.78467296</v>
      </c>
      <c r="S104" s="1">
        <v>24.7199609279632</v>
      </c>
      <c r="U104" s="1">
        <v>101653.301314334</v>
      </c>
      <c r="V104" s="1">
        <v>2.57809543609619</v>
      </c>
      <c r="X104" s="1">
        <v>1116418.59973854</v>
      </c>
      <c r="Y104" s="1">
        <v>7.4326856136322</v>
      </c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D105" s="1" t="s">
        <v>22</v>
      </c>
      <c r="E105" s="1">
        <v>60.0</v>
      </c>
      <c r="F105" s="1">
        <v>30.0</v>
      </c>
      <c r="H105" s="1">
        <v>1166065.74604996</v>
      </c>
      <c r="I105" s="1">
        <v>5.47869443893432</v>
      </c>
      <c r="J105" s="1">
        <v>1174430.0</v>
      </c>
      <c r="K105" s="1">
        <v>1174430.0</v>
      </c>
      <c r="L105" s="1">
        <v>1174430.0</v>
      </c>
      <c r="M105" s="1">
        <v>5.84330153465271</v>
      </c>
      <c r="N105" s="1">
        <v>61.0</v>
      </c>
      <c r="O105" s="5">
        <f t="shared" si="10"/>
        <v>0</v>
      </c>
      <c r="Q105" s="1">
        <v>1166517.97604047</v>
      </c>
      <c r="S105" s="1">
        <v>39.6281485557556</v>
      </c>
      <c r="U105" s="1">
        <v>102361.095766314</v>
      </c>
      <c r="V105" s="1">
        <v>2.50531649589538</v>
      </c>
      <c r="X105" s="1">
        <v>1146547.33150122</v>
      </c>
      <c r="Y105" s="1">
        <v>5.27545976638793</v>
      </c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D106" s="1" t="s">
        <v>23</v>
      </c>
      <c r="E106" s="1">
        <v>60.0</v>
      </c>
      <c r="F106" s="1">
        <v>30.0</v>
      </c>
      <c r="H106" s="1">
        <v>1192917.89566883</v>
      </c>
      <c r="I106" s="1">
        <v>5.48885560035705</v>
      </c>
      <c r="J106" s="1">
        <v>1214211.0</v>
      </c>
      <c r="K106" s="1">
        <v>1214211.0</v>
      </c>
      <c r="L106" s="1">
        <v>1214211.0</v>
      </c>
      <c r="M106" s="1">
        <v>6.50126361846923</v>
      </c>
      <c r="N106" s="1">
        <v>163.0</v>
      </c>
      <c r="O106" s="5">
        <f t="shared" si="10"/>
        <v>0</v>
      </c>
      <c r="Q106" s="1">
        <v>1193190.82331158</v>
      </c>
      <c r="S106" s="1">
        <v>38.4461517333984</v>
      </c>
      <c r="U106" s="1">
        <v>100160.31642583</v>
      </c>
      <c r="V106" s="1">
        <v>2.3321521282196</v>
      </c>
      <c r="X106" s="1">
        <v>1172089.60327486</v>
      </c>
      <c r="Y106" s="1">
        <v>5.53221797943115</v>
      </c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D107" s="1" t="s">
        <v>24</v>
      </c>
      <c r="E107" s="1">
        <v>60.0</v>
      </c>
      <c r="F107" s="1">
        <v>30.0</v>
      </c>
      <c r="H107" s="1">
        <v>1130601.44030798</v>
      </c>
      <c r="I107" s="1">
        <v>5.66055750846862</v>
      </c>
      <c r="J107" s="1">
        <v>1138168.99999999</v>
      </c>
      <c r="K107" s="1">
        <v>1138168.99999999</v>
      </c>
      <c r="L107" s="1">
        <v>1138168.99999999</v>
      </c>
      <c r="M107" s="1">
        <v>6.8927457332611</v>
      </c>
      <c r="N107" s="1">
        <v>189.0</v>
      </c>
      <c r="O107" s="5">
        <f t="shared" si="10"/>
        <v>0</v>
      </c>
      <c r="Q107" s="1">
        <v>1130804.11606311</v>
      </c>
      <c r="S107" s="1">
        <v>10.2390370368957</v>
      </c>
      <c r="U107" s="1">
        <v>102393.889464977</v>
      </c>
      <c r="V107" s="1">
        <v>2.64001369476318</v>
      </c>
      <c r="X107" s="1">
        <v>1105781.52088305</v>
      </c>
      <c r="Y107" s="1">
        <v>6.37579655647277</v>
      </c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D108" s="1" t="s">
        <v>25</v>
      </c>
      <c r="E108" s="1">
        <v>60.0</v>
      </c>
      <c r="F108" s="1">
        <v>30.0</v>
      </c>
      <c r="H108" s="1">
        <v>1223090.40355909</v>
      </c>
      <c r="I108" s="1">
        <v>5.49032282829284</v>
      </c>
      <c r="J108" s="1">
        <v>1235458.0</v>
      </c>
      <c r="K108" s="1">
        <v>1235425.99999999</v>
      </c>
      <c r="L108" s="1">
        <v>1235425.99999999</v>
      </c>
      <c r="M108" s="1">
        <v>6.59546208381652</v>
      </c>
      <c r="N108" s="1">
        <v>169.0</v>
      </c>
      <c r="O108" s="5">
        <f t="shared" si="10"/>
        <v>0</v>
      </c>
      <c r="Q108" s="1">
        <v>1223443.6517688</v>
      </c>
      <c r="S108" s="1">
        <v>23.8115332126617</v>
      </c>
      <c r="U108" s="1">
        <v>102007.411658576</v>
      </c>
      <c r="V108" s="1">
        <v>2.3935329914093</v>
      </c>
      <c r="X108" s="1">
        <v>1194012.6306619</v>
      </c>
      <c r="Y108" s="1">
        <v>7.37471222877502</v>
      </c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D109" s="1" t="s">
        <v>26</v>
      </c>
      <c r="E109" s="1">
        <v>60.0</v>
      </c>
      <c r="F109" s="1">
        <v>30.0</v>
      </c>
      <c r="H109" s="1">
        <v>1165812.97504194</v>
      </c>
      <c r="I109" s="1">
        <v>5.46880459785461</v>
      </c>
      <c r="J109" s="1">
        <v>1172660.0</v>
      </c>
      <c r="K109" s="1">
        <v>1172660.0</v>
      </c>
      <c r="L109" s="1">
        <v>1172660.0</v>
      </c>
      <c r="M109" s="1">
        <v>6.47417545318603</v>
      </c>
      <c r="N109" s="1">
        <v>161.0</v>
      </c>
      <c r="O109" s="5">
        <f t="shared" si="10"/>
        <v>0</v>
      </c>
      <c r="Q109" s="1">
        <v>1166028.55038622</v>
      </c>
      <c r="S109" s="1">
        <v>12.7926402091979</v>
      </c>
      <c r="U109" s="1">
        <v>103446.022953893</v>
      </c>
      <c r="V109" s="1">
        <v>2.63505125045776</v>
      </c>
      <c r="X109" s="1">
        <v>1141447.591947</v>
      </c>
      <c r="Y109" s="1">
        <v>13.9632112979888</v>
      </c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D110" s="1" t="s">
        <v>27</v>
      </c>
      <c r="E110" s="1">
        <v>60.0</v>
      </c>
      <c r="F110" s="1">
        <v>30.0</v>
      </c>
      <c r="H110" s="1">
        <v>1210532.83113837</v>
      </c>
      <c r="I110" s="1">
        <v>5.65877199172973</v>
      </c>
      <c r="J110" s="1">
        <v>1246570.0</v>
      </c>
      <c r="K110" s="1">
        <v>1228421.0</v>
      </c>
      <c r="L110" s="1">
        <v>1228421.0</v>
      </c>
      <c r="M110" s="1">
        <v>7.33876824378967</v>
      </c>
      <c r="N110" s="1">
        <v>245.0</v>
      </c>
      <c r="O110" s="5">
        <f t="shared" si="10"/>
        <v>0</v>
      </c>
      <c r="Q110" s="1">
        <v>1210806.21906088</v>
      </c>
      <c r="S110" s="1">
        <v>10.3790318965911</v>
      </c>
      <c r="U110" s="1">
        <v>100229.335773987</v>
      </c>
      <c r="V110" s="1">
        <v>2.34150218963623</v>
      </c>
      <c r="X110" s="1">
        <v>1173261.1393164</v>
      </c>
      <c r="Y110" s="1">
        <v>5.36324000358581</v>
      </c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D111" s="1" t="s">
        <v>28</v>
      </c>
      <c r="E111" s="1">
        <v>60.0</v>
      </c>
      <c r="F111" s="1">
        <v>30.0</v>
      </c>
      <c r="H111" s="1">
        <v>1131639.88987146</v>
      </c>
      <c r="I111" s="1">
        <v>5.49816489219665</v>
      </c>
      <c r="J111" s="1">
        <v>1143671.99999999</v>
      </c>
      <c r="K111" s="1">
        <v>1143671.99999999</v>
      </c>
      <c r="L111" s="1">
        <v>1143671.99999999</v>
      </c>
      <c r="M111" s="1">
        <v>6.12409996986389</v>
      </c>
      <c r="N111" s="1">
        <v>89.0</v>
      </c>
      <c r="O111" s="5">
        <f t="shared" si="10"/>
        <v>0</v>
      </c>
      <c r="Q111" s="1">
        <v>1131996.09303316</v>
      </c>
      <c r="S111" s="1">
        <v>20.0169997215271</v>
      </c>
      <c r="U111" s="1">
        <v>101822.934209175</v>
      </c>
      <c r="V111" s="1">
        <v>2.79722785949707</v>
      </c>
      <c r="X111" s="1">
        <v>1102670.49396659</v>
      </c>
      <c r="Y111" s="1">
        <v>5.3746383190155</v>
      </c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D112" s="1" t="s">
        <v>29</v>
      </c>
      <c r="E112" s="1">
        <v>60.0</v>
      </c>
      <c r="F112" s="1">
        <v>30.0</v>
      </c>
      <c r="H112" s="1">
        <v>1096393.17360978</v>
      </c>
      <c r="I112" s="1">
        <v>5.57021689414978</v>
      </c>
      <c r="J112" s="1">
        <v>1100292.0</v>
      </c>
      <c r="K112" s="1">
        <v>1100291.99999999</v>
      </c>
      <c r="L112" s="1">
        <v>1100291.99999999</v>
      </c>
      <c r="M112" s="1">
        <v>6.28218960762023</v>
      </c>
      <c r="N112" s="1">
        <v>121.0</v>
      </c>
      <c r="O112" s="5">
        <f t="shared" si="10"/>
        <v>0</v>
      </c>
      <c r="Q112" s="1">
        <v>1096824.29276366</v>
      </c>
      <c r="S112" s="1">
        <v>30.9215505123138</v>
      </c>
      <c r="U112" s="1">
        <v>100437.147861237</v>
      </c>
      <c r="V112" s="1">
        <v>2.46642565727233</v>
      </c>
      <c r="X112" s="1">
        <v>1082593.15809507</v>
      </c>
      <c r="Y112" s="1">
        <v>5.86059069633483</v>
      </c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D113" s="1" t="s">
        <v>30</v>
      </c>
      <c r="E113" s="1">
        <v>60.0</v>
      </c>
      <c r="F113" s="1">
        <v>30.0</v>
      </c>
      <c r="H113" s="1">
        <v>1227744.20114073</v>
      </c>
      <c r="I113" s="1">
        <v>5.48172640800476</v>
      </c>
      <c r="J113" s="1">
        <v>1242389.0</v>
      </c>
      <c r="K113" s="1">
        <v>1242389.0</v>
      </c>
      <c r="L113" s="1">
        <v>1242389.0</v>
      </c>
      <c r="M113" s="1">
        <v>6.71417760848999</v>
      </c>
      <c r="N113" s="1">
        <v>195.0</v>
      </c>
      <c r="O113" s="5">
        <f t="shared" si="10"/>
        <v>0</v>
      </c>
      <c r="Q113" s="1">
        <v>1228094.43320053</v>
      </c>
      <c r="S113" s="1">
        <v>21.8870584964752</v>
      </c>
      <c r="U113" s="1">
        <v>102936.236424358</v>
      </c>
      <c r="V113" s="1">
        <v>2.43686127662658</v>
      </c>
      <c r="X113" s="1">
        <v>1204299.59150109</v>
      </c>
      <c r="Y113" s="1">
        <v>5.74227952957153</v>
      </c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D114" s="1" t="s">
        <v>31</v>
      </c>
      <c r="E114" s="1">
        <v>60.0</v>
      </c>
      <c r="F114" s="1">
        <v>30.0</v>
      </c>
      <c r="H114" s="1">
        <v>1214045.56431819</v>
      </c>
      <c r="I114" s="1">
        <v>5.48748850822448</v>
      </c>
      <c r="J114" s="1">
        <v>1225548.99999999</v>
      </c>
      <c r="K114" s="1">
        <v>1225548.99999999</v>
      </c>
      <c r="L114" s="1">
        <v>1225548.99999999</v>
      </c>
      <c r="M114" s="1">
        <v>6.04025840759277</v>
      </c>
      <c r="N114" s="1">
        <v>91.0</v>
      </c>
      <c r="O114" s="5">
        <f t="shared" si="10"/>
        <v>0</v>
      </c>
      <c r="Q114" s="1">
        <v>1214457.12695136</v>
      </c>
      <c r="S114" s="1">
        <v>36.5652689933776</v>
      </c>
      <c r="U114" s="1">
        <v>102919.348050735</v>
      </c>
      <c r="V114" s="1">
        <v>2.61706638336181</v>
      </c>
      <c r="X114" s="1">
        <v>1188189.64586308</v>
      </c>
      <c r="Y114" s="1">
        <v>6.13614583015441</v>
      </c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D115" s="1" t="s">
        <v>32</v>
      </c>
      <c r="E115" s="1">
        <v>60.0</v>
      </c>
      <c r="F115" s="1">
        <v>30.0</v>
      </c>
      <c r="H115" s="1">
        <v>1181285.8076284</v>
      </c>
      <c r="I115" s="1">
        <v>5.47673654556274</v>
      </c>
      <c r="J115" s="1">
        <v>1191486.99999999</v>
      </c>
      <c r="K115" s="1">
        <v>1191486.99999999</v>
      </c>
      <c r="L115" s="1">
        <v>1191486.99999999</v>
      </c>
      <c r="M115" s="1">
        <v>6.13264822959899</v>
      </c>
      <c r="N115" s="1">
        <v>101.0</v>
      </c>
      <c r="O115" s="5">
        <f t="shared" si="10"/>
        <v>0</v>
      </c>
      <c r="Q115" s="1">
        <v>1181420.11993875</v>
      </c>
      <c r="S115" s="1">
        <v>6.15960121154785</v>
      </c>
      <c r="U115" s="1">
        <v>102240.931743309</v>
      </c>
      <c r="V115" s="1">
        <v>2.31473278999328</v>
      </c>
      <c r="X115" s="1">
        <v>1151338.91411378</v>
      </c>
      <c r="Y115" s="1">
        <v>9.17437171936035</v>
      </c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D116" s="1" t="s">
        <v>33</v>
      </c>
      <c r="E116" s="1">
        <v>60.0</v>
      </c>
      <c r="F116" s="1">
        <v>30.0</v>
      </c>
      <c r="H116" s="1">
        <v>1267378.19856343</v>
      </c>
      <c r="I116" s="1">
        <v>5.5010187625885</v>
      </c>
      <c r="J116" s="1">
        <v>1286547.99999999</v>
      </c>
      <c r="K116" s="1">
        <v>1286547.99999999</v>
      </c>
      <c r="L116" s="1">
        <v>1286547.99999999</v>
      </c>
      <c r="M116" s="1">
        <v>6.25587797164917</v>
      </c>
      <c r="N116" s="1">
        <v>121.0</v>
      </c>
      <c r="O116" s="5">
        <f t="shared" si="10"/>
        <v>0</v>
      </c>
      <c r="Q116" s="1">
        <v>1267821.04617801</v>
      </c>
      <c r="S116" s="1">
        <v>32.8677275180816</v>
      </c>
      <c r="U116" s="1">
        <v>103676.975053372</v>
      </c>
      <c r="V116" s="1">
        <v>2.82480454444885</v>
      </c>
      <c r="X116" s="1">
        <v>1247645.95254296</v>
      </c>
      <c r="Y116" s="1">
        <v>6.30214071273803</v>
      </c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D117" s="1" t="s">
        <v>34</v>
      </c>
      <c r="E117" s="1">
        <v>60.0</v>
      </c>
      <c r="F117" s="1">
        <v>30.0</v>
      </c>
      <c r="H117" s="1">
        <v>1167891.83109273</v>
      </c>
      <c r="I117" s="1">
        <v>5.53618597984314</v>
      </c>
      <c r="J117" s="1">
        <v>1192126.0</v>
      </c>
      <c r="K117" s="1">
        <v>1192126.0</v>
      </c>
      <c r="L117" s="1">
        <v>1192126.0</v>
      </c>
      <c r="M117" s="1">
        <v>9.0129849910736</v>
      </c>
      <c r="N117" s="1">
        <v>539.0</v>
      </c>
      <c r="O117" s="5">
        <f t="shared" si="10"/>
        <v>0</v>
      </c>
      <c r="Q117" s="1">
        <v>1168116.81411848</v>
      </c>
      <c r="S117" s="1">
        <v>16.3530473709106</v>
      </c>
      <c r="U117" s="1">
        <v>101929.5711301</v>
      </c>
      <c r="V117" s="1">
        <v>2.55330896377563</v>
      </c>
      <c r="X117" s="1">
        <v>1153748.51278048</v>
      </c>
      <c r="Y117" s="1">
        <v>7.18518304824829</v>
      </c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D118" s="1" t="s">
        <v>35</v>
      </c>
      <c r="E118" s="1">
        <v>60.0</v>
      </c>
      <c r="F118" s="1">
        <v>30.0</v>
      </c>
      <c r="H118" s="1">
        <v>1117051.11878462</v>
      </c>
      <c r="I118" s="1">
        <v>5.49374127388</v>
      </c>
      <c r="J118" s="1">
        <v>1118050.99999999</v>
      </c>
      <c r="K118" s="1">
        <v>1118050.99999999</v>
      </c>
      <c r="L118" s="1">
        <v>1118050.99999999</v>
      </c>
      <c r="M118" s="1">
        <v>6.20211839675903</v>
      </c>
      <c r="N118" s="1">
        <v>121.0</v>
      </c>
      <c r="O118" s="5">
        <f t="shared" si="10"/>
        <v>0</v>
      </c>
      <c r="Q118" s="1">
        <v>1117204.43130345</v>
      </c>
      <c r="S118" s="1">
        <v>14.4230167865753</v>
      </c>
      <c r="U118" s="1">
        <v>100972.998851324</v>
      </c>
      <c r="V118" s="1">
        <v>2.68971967697143</v>
      </c>
      <c r="X118" s="1">
        <v>1100327.22794609</v>
      </c>
      <c r="Y118" s="1">
        <v>6.52724838256835</v>
      </c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D119" s="1" t="s">
        <v>36</v>
      </c>
      <c r="E119" s="1">
        <v>60.0</v>
      </c>
      <c r="F119" s="1">
        <v>30.0</v>
      </c>
      <c r="H119" s="1">
        <v>1177402.26736015</v>
      </c>
      <c r="I119" s="1">
        <v>5.6141653060913</v>
      </c>
      <c r="J119" s="1">
        <v>1198278.0</v>
      </c>
      <c r="K119" s="1">
        <v>1198277.99999999</v>
      </c>
      <c r="L119" s="1">
        <v>1198277.99999999</v>
      </c>
      <c r="M119" s="1">
        <v>8.1585042476654</v>
      </c>
      <c r="N119" s="1">
        <v>365.0</v>
      </c>
      <c r="O119" s="5">
        <f t="shared" si="10"/>
        <v>0</v>
      </c>
      <c r="Q119" s="1">
        <v>1177722.54133927</v>
      </c>
      <c r="S119" s="1">
        <v>19.6353707313537</v>
      </c>
      <c r="U119" s="1">
        <v>101379.861233193</v>
      </c>
      <c r="V119" s="1">
        <v>2.91123962402343</v>
      </c>
      <c r="X119" s="1">
        <v>1151792.394321</v>
      </c>
      <c r="Y119" s="1">
        <v>5.25100350379943</v>
      </c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D120" s="1" t="s">
        <v>37</v>
      </c>
      <c r="E120" s="1">
        <v>60.0</v>
      </c>
      <c r="F120" s="1">
        <v>30.0</v>
      </c>
      <c r="H120" s="1">
        <v>1191766.18470832</v>
      </c>
      <c r="I120" s="1">
        <v>5.48420786857605</v>
      </c>
      <c r="J120" s="1">
        <v>1211543.0</v>
      </c>
      <c r="K120" s="1">
        <v>1209041.0</v>
      </c>
      <c r="L120" s="1">
        <v>1209041.0</v>
      </c>
      <c r="M120" s="1">
        <v>6.71797752380371</v>
      </c>
      <c r="N120" s="1">
        <v>183.0</v>
      </c>
      <c r="O120" s="5">
        <f t="shared" si="10"/>
        <v>0</v>
      </c>
      <c r="Q120" s="1">
        <v>1192000.02276456</v>
      </c>
      <c r="S120" s="1">
        <v>11.7150552272796</v>
      </c>
      <c r="U120" s="1">
        <v>104059.014695668</v>
      </c>
      <c r="V120" s="1">
        <v>3.02223110198974</v>
      </c>
      <c r="X120" s="1">
        <v>1168450.9161635</v>
      </c>
      <c r="Y120" s="1">
        <v>7.14347887039184</v>
      </c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D121" s="1" t="s">
        <v>38</v>
      </c>
      <c r="E121" s="1">
        <v>60.0</v>
      </c>
      <c r="F121" s="1">
        <v>30.0</v>
      </c>
      <c r="H121" s="1">
        <v>1059969.18765036</v>
      </c>
      <c r="I121" s="1">
        <v>5.6516728401184</v>
      </c>
      <c r="J121" s="1">
        <v>1061460.0</v>
      </c>
      <c r="K121" s="1">
        <v>1061459.99999999</v>
      </c>
      <c r="L121" s="1">
        <v>1061459.99999999</v>
      </c>
      <c r="M121" s="1">
        <v>6.36010432243347</v>
      </c>
      <c r="N121" s="1">
        <v>121.0</v>
      </c>
      <c r="O121" s="5">
        <f t="shared" si="10"/>
        <v>0</v>
      </c>
      <c r="Q121" s="1">
        <v>1060192.63774774</v>
      </c>
      <c r="S121" s="1">
        <v>41.8091511726379</v>
      </c>
      <c r="U121" s="1">
        <v>101629.577571131</v>
      </c>
      <c r="V121" s="1">
        <v>3.88083505630493</v>
      </c>
      <c r="X121" s="1">
        <v>1048155.56970892</v>
      </c>
      <c r="Y121" s="1">
        <v>5.91730809211731</v>
      </c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D122" s="1" t="s">
        <v>39</v>
      </c>
      <c r="E122" s="1">
        <v>60.0</v>
      </c>
      <c r="F122" s="1">
        <v>30.0</v>
      </c>
      <c r="H122" s="1">
        <v>1178284.37261667</v>
      </c>
      <c r="I122" s="1">
        <v>5.63280630111694</v>
      </c>
      <c r="J122" s="1">
        <v>1180411.99999999</v>
      </c>
      <c r="K122" s="1">
        <v>1180411.99999999</v>
      </c>
      <c r="L122" s="1">
        <v>1180411.99999999</v>
      </c>
      <c r="M122" s="1">
        <v>5.98423719406127</v>
      </c>
      <c r="N122" s="1">
        <v>61.0</v>
      </c>
      <c r="O122" s="5">
        <f t="shared" si="10"/>
        <v>0</v>
      </c>
      <c r="Q122" s="1">
        <v>1178639.17075337</v>
      </c>
      <c r="S122" s="1">
        <v>39.2810566425323</v>
      </c>
      <c r="U122" s="1">
        <v>101563.096984959</v>
      </c>
      <c r="V122" s="1">
        <v>2.5423936843872</v>
      </c>
      <c r="X122" s="1">
        <v>1162102.56956828</v>
      </c>
      <c r="Y122" s="1">
        <v>6.089688539505</v>
      </c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D123" s="1" t="s">
        <v>40</v>
      </c>
      <c r="E123" s="1">
        <v>60.0</v>
      </c>
      <c r="F123" s="1">
        <v>30.0</v>
      </c>
      <c r="H123" s="1">
        <v>1100662.2469434</v>
      </c>
      <c r="I123" s="1">
        <v>5.47982311248779</v>
      </c>
      <c r="J123" s="1">
        <v>1103852.99999999</v>
      </c>
      <c r="K123" s="1">
        <v>1103852.99999999</v>
      </c>
      <c r="L123" s="1">
        <v>1103852.99999999</v>
      </c>
      <c r="M123" s="1">
        <v>6.21925544738769</v>
      </c>
      <c r="N123" s="1">
        <v>121.0</v>
      </c>
      <c r="O123" s="5">
        <f t="shared" si="10"/>
        <v>0</v>
      </c>
      <c r="Q123" s="1">
        <v>1100876.05413267</v>
      </c>
      <c r="S123" s="1">
        <v>12.5702624320983</v>
      </c>
      <c r="U123" s="1">
        <v>102871.192123716</v>
      </c>
      <c r="V123" s="1">
        <v>2.56360840797424</v>
      </c>
      <c r="X123" s="1">
        <v>1082606.9662855</v>
      </c>
      <c r="Y123" s="1">
        <v>6.89366960525512</v>
      </c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D124" s="1" t="s">
        <v>41</v>
      </c>
      <c r="E124" s="1">
        <v>60.0</v>
      </c>
      <c r="F124" s="1">
        <v>30.0</v>
      </c>
      <c r="H124" s="1">
        <v>1174642.66723682</v>
      </c>
      <c r="I124" s="1">
        <v>5.47291564941406</v>
      </c>
      <c r="J124" s="1">
        <v>1184620.0</v>
      </c>
      <c r="K124" s="1">
        <v>1184620.0</v>
      </c>
      <c r="L124" s="1">
        <v>1184620.0</v>
      </c>
      <c r="M124" s="1">
        <v>6.80299925804138</v>
      </c>
      <c r="N124" s="1">
        <v>207.0</v>
      </c>
      <c r="O124" s="5">
        <f t="shared" si="10"/>
        <v>0</v>
      </c>
      <c r="Q124" s="1">
        <v>1174957.45823149</v>
      </c>
      <c r="S124" s="1">
        <v>15.9790780544281</v>
      </c>
      <c r="U124" s="1">
        <v>101872.988012274</v>
      </c>
      <c r="V124" s="1">
        <v>2.73365497589111</v>
      </c>
      <c r="X124" s="1">
        <v>1152111.16653108</v>
      </c>
      <c r="Y124" s="1">
        <v>5.52967858314514</v>
      </c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D125" s="1" t="s">
        <v>42</v>
      </c>
      <c r="E125" s="1">
        <v>60.0</v>
      </c>
      <c r="F125" s="1">
        <v>30.0</v>
      </c>
      <c r="H125" s="1">
        <v>1117694.21752913</v>
      </c>
      <c r="I125" s="1">
        <v>5.45571398735046</v>
      </c>
      <c r="J125" s="1">
        <v>1123975.0</v>
      </c>
      <c r="K125" s="1">
        <v>1123974.99999999</v>
      </c>
      <c r="L125" s="1">
        <v>1123974.99999999</v>
      </c>
      <c r="M125" s="1">
        <v>5.8277530670166</v>
      </c>
      <c r="N125" s="1">
        <v>59.0</v>
      </c>
      <c r="O125" s="5">
        <f t="shared" si="10"/>
        <v>0</v>
      </c>
      <c r="Q125" s="1">
        <v>1117944.11810338</v>
      </c>
      <c r="S125" s="1">
        <v>17.0832076072692</v>
      </c>
      <c r="U125" s="1">
        <v>102160.938939837</v>
      </c>
      <c r="V125" s="1">
        <v>2.52202177047729</v>
      </c>
      <c r="X125" s="1">
        <v>1090215.79088153</v>
      </c>
      <c r="Y125" s="1">
        <v>8.81203079223632</v>
      </c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D126" s="1" t="s">
        <v>43</v>
      </c>
      <c r="E126" s="1">
        <v>60.0</v>
      </c>
      <c r="F126" s="1">
        <v>30.0</v>
      </c>
      <c r="H126" s="1">
        <v>1211015.49409607</v>
      </c>
      <c r="I126" s="1">
        <v>5.67143654823303</v>
      </c>
      <c r="J126" s="1">
        <v>1216250.99999999</v>
      </c>
      <c r="K126" s="1">
        <v>1216250.99999999</v>
      </c>
      <c r="L126" s="1">
        <v>1216250.99999999</v>
      </c>
      <c r="M126" s="1">
        <v>7.25874137878418</v>
      </c>
      <c r="N126" s="1">
        <v>255.0</v>
      </c>
      <c r="O126" s="5">
        <f t="shared" si="10"/>
        <v>0</v>
      </c>
      <c r="Q126" s="1">
        <v>1211273.01223035</v>
      </c>
      <c r="S126" s="1">
        <v>23.3367002010345</v>
      </c>
      <c r="U126" s="1">
        <v>100600.716206577</v>
      </c>
      <c r="V126" s="1">
        <v>2.5445966720581</v>
      </c>
      <c r="X126" s="1">
        <v>1183750.63064724</v>
      </c>
      <c r="Y126" s="1">
        <v>9.40418052673339</v>
      </c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D127" s="1" t="s">
        <v>44</v>
      </c>
      <c r="E127" s="1">
        <v>60.0</v>
      </c>
      <c r="F127" s="1">
        <v>30.0</v>
      </c>
      <c r="H127" s="1">
        <v>1092186.92343441</v>
      </c>
      <c r="I127" s="1">
        <v>5.47032332420349</v>
      </c>
      <c r="J127" s="1">
        <v>1093470.0</v>
      </c>
      <c r="K127" s="1">
        <v>1093470.0</v>
      </c>
      <c r="L127" s="1">
        <v>1093470.0</v>
      </c>
      <c r="M127" s="1">
        <v>6.67810559272766</v>
      </c>
      <c r="N127" s="1">
        <v>197.0</v>
      </c>
      <c r="O127" s="5">
        <f t="shared" si="10"/>
        <v>0</v>
      </c>
      <c r="Q127" s="1">
        <v>1092362.66739609</v>
      </c>
      <c r="S127" s="1">
        <v>15.372706413269</v>
      </c>
      <c r="U127" s="1">
        <v>103377.713373949</v>
      </c>
      <c r="V127" s="1">
        <v>3.41323804855346</v>
      </c>
      <c r="X127" s="1">
        <v>1067116.69499766</v>
      </c>
      <c r="Y127" s="1">
        <v>5.54155182838439</v>
      </c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D128" s="1" t="s">
        <v>45</v>
      </c>
      <c r="E128" s="1">
        <v>60.0</v>
      </c>
      <c r="F128" s="1">
        <v>30.0</v>
      </c>
      <c r="H128" s="1">
        <v>1115515.79328688</v>
      </c>
      <c r="I128" s="1">
        <v>5.7189621925354</v>
      </c>
      <c r="J128" s="1">
        <v>1117416.99999999</v>
      </c>
      <c r="K128" s="1">
        <v>1117416.99999999</v>
      </c>
      <c r="L128" s="1">
        <v>1117416.99999999</v>
      </c>
      <c r="M128" s="1">
        <v>6.47449231147766</v>
      </c>
      <c r="N128" s="1">
        <v>123.0</v>
      </c>
      <c r="O128" s="5">
        <f t="shared" si="10"/>
        <v>0</v>
      </c>
      <c r="Q128" s="1">
        <v>1115690.82345824</v>
      </c>
      <c r="S128" s="1">
        <v>17.0316364765167</v>
      </c>
      <c r="U128" s="1">
        <v>103304.017611934</v>
      </c>
      <c r="V128" s="1">
        <v>3.0862500667572</v>
      </c>
      <c r="X128" s="1">
        <v>1098060.73649283</v>
      </c>
      <c r="Y128" s="1">
        <v>6.92772674560546</v>
      </c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D129" s="1"/>
      <c r="E129" s="6">
        <f t="shared" ref="E129:F129" si="11">AVERAGE(E99:E128)</f>
        <v>60</v>
      </c>
      <c r="F129" s="6">
        <f t="shared" si="11"/>
        <v>30</v>
      </c>
      <c r="H129" s="6">
        <f t="shared" ref="H129:O129" si="12">AVERAGE(H99:H128)</f>
        <v>1150624.12</v>
      </c>
      <c r="I129" s="6">
        <f t="shared" si="12"/>
        <v>5.548295975</v>
      </c>
      <c r="J129" s="6">
        <f t="shared" si="12"/>
        <v>1161370.433</v>
      </c>
      <c r="K129" s="6">
        <f t="shared" si="12"/>
        <v>1160367.467</v>
      </c>
      <c r="L129" s="6">
        <f t="shared" si="12"/>
        <v>1160367.467</v>
      </c>
      <c r="M129" s="6">
        <f t="shared" si="12"/>
        <v>6.642827741</v>
      </c>
      <c r="N129" s="6">
        <f t="shared" si="12"/>
        <v>170.3333333</v>
      </c>
      <c r="O129" s="6">
        <f t="shared" si="12"/>
        <v>0</v>
      </c>
      <c r="Q129" s="6">
        <f>AVERAGE(Q99:Q128)</f>
        <v>1150892.895</v>
      </c>
      <c r="S129" s="6">
        <f>AVERAGE(S99:S128)</f>
        <v>21.01712708</v>
      </c>
    </row>
    <row r="130">
      <c r="D130" s="1" t="s">
        <v>16</v>
      </c>
      <c r="E130" s="1">
        <v>70.0</v>
      </c>
      <c r="F130" s="1">
        <v>15.0</v>
      </c>
      <c r="H130" s="1">
        <v>231398.266388251</v>
      </c>
      <c r="I130" s="1">
        <v>6.90547752380371</v>
      </c>
      <c r="J130" s="1">
        <v>275354.0</v>
      </c>
      <c r="K130" s="1">
        <v>268003.999999999</v>
      </c>
      <c r="L130" s="1">
        <v>268003.999999999</v>
      </c>
      <c r="M130" s="1">
        <v>68.9064037799835</v>
      </c>
      <c r="N130" s="1">
        <v>5693.0</v>
      </c>
      <c r="O130" s="5">
        <f t="shared" ref="O130:O159" si="13">100*(K130-L130)/K130</f>
        <v>0</v>
      </c>
      <c r="Q130" s="1">
        <v>231583.007740307</v>
      </c>
      <c r="S130" s="1">
        <v>40.2940073013305</v>
      </c>
      <c r="U130" s="1">
        <v>77137.9888337594</v>
      </c>
      <c r="V130" s="1">
        <v>3.77046537399292</v>
      </c>
      <c r="X130" s="1">
        <v>226550.631577406</v>
      </c>
      <c r="Y130" s="1">
        <v>11.1462857723236</v>
      </c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D131" s="1" t="s">
        <v>17</v>
      </c>
      <c r="E131" s="1">
        <v>70.0</v>
      </c>
      <c r="F131" s="1">
        <v>15.0</v>
      </c>
      <c r="H131" s="1">
        <v>244492.283454793</v>
      </c>
      <c r="I131" s="1">
        <v>7.07171392440795</v>
      </c>
      <c r="J131" s="1">
        <v>364796.0</v>
      </c>
      <c r="K131" s="1">
        <v>318636.0</v>
      </c>
      <c r="L131" s="1">
        <v>318636.0</v>
      </c>
      <c r="M131" s="1">
        <v>537.120140314102</v>
      </c>
      <c r="N131" s="1">
        <v>41585.0</v>
      </c>
      <c r="O131" s="5">
        <f t="shared" si="13"/>
        <v>0</v>
      </c>
      <c r="Q131" s="1">
        <v>244670.707992468</v>
      </c>
      <c r="S131" s="1">
        <v>31.5124702453613</v>
      </c>
      <c r="U131" s="1">
        <v>80139.296347295</v>
      </c>
      <c r="V131" s="1">
        <v>3.97757053375244</v>
      </c>
      <c r="X131" s="1">
        <v>242229.88439801</v>
      </c>
      <c r="Y131" s="1">
        <v>5.51543474197387</v>
      </c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D132" s="1" t="s">
        <v>18</v>
      </c>
      <c r="E132" s="1">
        <v>70.0</v>
      </c>
      <c r="F132" s="1">
        <v>15.0</v>
      </c>
      <c r="H132" s="1">
        <v>225825.198114782</v>
      </c>
      <c r="I132" s="1">
        <v>6.9022376537323</v>
      </c>
      <c r="J132" s="1">
        <v>284685.0</v>
      </c>
      <c r="K132" s="1">
        <v>279986.999999999</v>
      </c>
      <c r="L132" s="1">
        <v>279986.999999999</v>
      </c>
      <c r="M132" s="1">
        <v>257.426223516464</v>
      </c>
      <c r="N132" s="1">
        <v>21923.0</v>
      </c>
      <c r="O132" s="5">
        <f t="shared" si="13"/>
        <v>0</v>
      </c>
      <c r="Q132" s="1">
        <v>225982.210300742</v>
      </c>
      <c r="S132" s="1">
        <v>44.3730461597442</v>
      </c>
      <c r="U132" s="1">
        <v>77852.3532237149</v>
      </c>
      <c r="V132" s="1">
        <v>3.93353986740112</v>
      </c>
      <c r="X132" s="1">
        <v>222028.075745046</v>
      </c>
      <c r="Y132" s="1">
        <v>8.00126361846923</v>
      </c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D133" s="1" t="s">
        <v>19</v>
      </c>
      <c r="E133" s="1">
        <v>70.0</v>
      </c>
      <c r="F133" s="1">
        <v>15.0</v>
      </c>
      <c r="H133" s="1">
        <v>236327.364674102</v>
      </c>
      <c r="I133" s="1">
        <v>6.93079900741577</v>
      </c>
      <c r="J133" s="1">
        <v>342030.0</v>
      </c>
      <c r="K133" s="1">
        <v>304451.0</v>
      </c>
      <c r="L133" s="1">
        <v>304451.0</v>
      </c>
      <c r="M133" s="1">
        <v>394.96242904663</v>
      </c>
      <c r="N133" s="1">
        <v>31375.0</v>
      </c>
      <c r="O133" s="5">
        <f t="shared" si="13"/>
        <v>0</v>
      </c>
      <c r="Q133" s="1">
        <v>236491.97052033</v>
      </c>
      <c r="S133" s="1">
        <v>39.5303480625152</v>
      </c>
      <c r="U133" s="1">
        <v>77686.3553853941</v>
      </c>
      <c r="V133" s="1">
        <v>5.28913903236389</v>
      </c>
      <c r="X133" s="1">
        <v>233389.140550781</v>
      </c>
      <c r="Y133" s="1">
        <v>9.2244963645935</v>
      </c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D134" s="1" t="s">
        <v>20</v>
      </c>
      <c r="E134" s="1">
        <v>70.0</v>
      </c>
      <c r="F134" s="1">
        <v>15.0</v>
      </c>
      <c r="H134" s="1">
        <v>239477.798807483</v>
      </c>
      <c r="I134" s="1">
        <v>6.93077659606933</v>
      </c>
      <c r="J134" s="1">
        <v>335811.0</v>
      </c>
      <c r="K134" s="1">
        <v>293892.0</v>
      </c>
      <c r="L134" s="1">
        <v>293892.0</v>
      </c>
      <c r="M134" s="1">
        <v>190.122318744659</v>
      </c>
      <c r="N134" s="1">
        <v>15627.0</v>
      </c>
      <c r="O134" s="5">
        <f t="shared" si="13"/>
        <v>0</v>
      </c>
      <c r="Q134" s="1">
        <v>239647.011809798</v>
      </c>
      <c r="S134" s="1">
        <v>77.249831199646</v>
      </c>
      <c r="U134" s="1">
        <v>80612.9298616926</v>
      </c>
      <c r="V134" s="1">
        <v>3.57662796974182</v>
      </c>
      <c r="X134" s="1">
        <v>237283.350771723</v>
      </c>
      <c r="Y134" s="1">
        <v>9.35110855102539</v>
      </c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D135" s="1" t="s">
        <v>21</v>
      </c>
      <c r="E135" s="1">
        <v>70.0</v>
      </c>
      <c r="F135" s="1">
        <v>15.0</v>
      </c>
      <c r="H135" s="1">
        <v>230477.204862887</v>
      </c>
      <c r="I135" s="1">
        <v>6.91026258468627</v>
      </c>
      <c r="J135" s="1">
        <v>307656.0</v>
      </c>
      <c r="K135" s="1">
        <v>291085.0</v>
      </c>
      <c r="L135" s="1">
        <v>291085.0</v>
      </c>
      <c r="M135" s="1">
        <v>2618.50293064117</v>
      </c>
      <c r="N135" s="1">
        <v>126769.0</v>
      </c>
      <c r="O135" s="5">
        <f t="shared" si="13"/>
        <v>0</v>
      </c>
      <c r="Q135" s="1">
        <v>230659.289576577</v>
      </c>
      <c r="S135" s="1">
        <v>41.4658393859863</v>
      </c>
      <c r="U135" s="1">
        <v>77976.9542347049</v>
      </c>
      <c r="V135" s="1">
        <v>3.49984264373779</v>
      </c>
      <c r="X135" s="1">
        <v>224541.358808261</v>
      </c>
      <c r="Y135" s="1">
        <v>8.44910168647766</v>
      </c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D136" s="1" t="s">
        <v>22</v>
      </c>
      <c r="E136" s="1">
        <v>70.0</v>
      </c>
      <c r="F136" s="1">
        <v>15.0</v>
      </c>
      <c r="H136" s="1">
        <v>239439.003849396</v>
      </c>
      <c r="I136" s="1">
        <v>6.92660307884216</v>
      </c>
      <c r="J136" s="1">
        <v>358105.999999999</v>
      </c>
      <c r="K136" s="1">
        <v>300972.0</v>
      </c>
      <c r="L136" s="1">
        <v>300972.0</v>
      </c>
      <c r="M136" s="1">
        <v>210.473747253417</v>
      </c>
      <c r="N136" s="1">
        <v>17671.0</v>
      </c>
      <c r="O136" s="5">
        <f t="shared" si="13"/>
        <v>0</v>
      </c>
      <c r="Q136" s="1">
        <v>239596.233914645</v>
      </c>
      <c r="S136" s="1">
        <v>20.2561922073364</v>
      </c>
      <c r="U136" s="1">
        <v>79291.9993649683</v>
      </c>
      <c r="V136" s="1">
        <v>3.61584186553955</v>
      </c>
      <c r="X136" s="1">
        <v>237438.327653726</v>
      </c>
      <c r="Y136" s="1">
        <v>10.458470582962</v>
      </c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D137" s="1" t="s">
        <v>23</v>
      </c>
      <c r="E137" s="1">
        <v>70.0</v>
      </c>
      <c r="F137" s="1">
        <v>15.0</v>
      </c>
      <c r="H137" s="1">
        <v>235990.820308291</v>
      </c>
      <c r="I137" s="1">
        <v>7.00620412826538</v>
      </c>
      <c r="J137" s="1">
        <v>368409.0</v>
      </c>
      <c r="K137" s="1">
        <v>314340.999999999</v>
      </c>
      <c r="L137" s="1">
        <v>314008.214644146</v>
      </c>
      <c r="M137" s="1">
        <v>3600.0144367218</v>
      </c>
      <c r="N137" s="1">
        <v>169903.0</v>
      </c>
      <c r="O137" s="5">
        <f t="shared" si="13"/>
        <v>0.1058676265</v>
      </c>
      <c r="Q137" s="1">
        <v>236151.633212669</v>
      </c>
      <c r="S137" s="1">
        <v>41.4958217144012</v>
      </c>
      <c r="U137" s="1">
        <v>79453.680246958</v>
      </c>
      <c r="V137" s="1">
        <v>24.8971576690673</v>
      </c>
      <c r="X137" s="1">
        <v>233904.418480055</v>
      </c>
      <c r="Y137" s="1">
        <v>11.282867193222</v>
      </c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D138" s="1" t="s">
        <v>24</v>
      </c>
      <c r="E138" s="1">
        <v>70.0</v>
      </c>
      <c r="F138" s="1">
        <v>15.0</v>
      </c>
      <c r="H138" s="1">
        <v>250531.286857181</v>
      </c>
      <c r="I138" s="1">
        <v>6.92728972434997</v>
      </c>
      <c r="J138" s="1">
        <v>347537.999999999</v>
      </c>
      <c r="K138" s="1">
        <v>304485.999999999</v>
      </c>
      <c r="L138" s="1">
        <v>304485.999999999</v>
      </c>
      <c r="M138" s="1">
        <v>322.269517183303</v>
      </c>
      <c r="N138" s="1">
        <v>25477.0</v>
      </c>
      <c r="O138" s="5">
        <f t="shared" si="13"/>
        <v>0</v>
      </c>
      <c r="Q138" s="1">
        <v>250718.530884837</v>
      </c>
      <c r="S138" s="1">
        <v>33.8936262130737</v>
      </c>
      <c r="U138" s="1">
        <v>77862.9989618993</v>
      </c>
      <c r="V138" s="1">
        <v>4.2085645198822</v>
      </c>
      <c r="X138" s="1">
        <v>247502.666851442</v>
      </c>
      <c r="Y138" s="1">
        <v>18.370593547821</v>
      </c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D139" s="1" t="s">
        <v>25</v>
      </c>
      <c r="E139" s="1">
        <v>70.0</v>
      </c>
      <c r="F139" s="1">
        <v>15.0</v>
      </c>
      <c r="H139" s="1">
        <v>257850.640568477</v>
      </c>
      <c r="I139" s="1">
        <v>6.92459273338317</v>
      </c>
      <c r="J139" s="1">
        <v>366401.0</v>
      </c>
      <c r="K139" s="1">
        <v>314019.0</v>
      </c>
      <c r="L139" s="1">
        <v>314019.0</v>
      </c>
      <c r="M139" s="1">
        <v>168.987126111984</v>
      </c>
      <c r="N139" s="1">
        <v>13799.0</v>
      </c>
      <c r="O139" s="5">
        <f t="shared" si="13"/>
        <v>0</v>
      </c>
      <c r="Q139" s="1">
        <v>258049.923855168</v>
      </c>
      <c r="S139" s="1">
        <v>41.0926744937896</v>
      </c>
      <c r="U139" s="1">
        <v>80929.0085010039</v>
      </c>
      <c r="V139" s="1">
        <v>3.68870258331298</v>
      </c>
      <c r="X139" s="1">
        <v>255886.728695771</v>
      </c>
      <c r="Y139" s="1">
        <v>16.5854389667511</v>
      </c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D140" s="1" t="s">
        <v>26</v>
      </c>
      <c r="E140" s="1">
        <v>70.0</v>
      </c>
      <c r="F140" s="1">
        <v>15.0</v>
      </c>
      <c r="H140" s="1">
        <v>247361.815698843</v>
      </c>
      <c r="I140" s="1">
        <v>6.9136004447937</v>
      </c>
      <c r="J140" s="1">
        <v>356105.0</v>
      </c>
      <c r="K140" s="1">
        <v>311425.0</v>
      </c>
      <c r="L140" s="1">
        <v>311425.0</v>
      </c>
      <c r="M140" s="1">
        <v>478.415786743164</v>
      </c>
      <c r="N140" s="1">
        <v>36843.0</v>
      </c>
      <c r="O140" s="5">
        <f t="shared" si="13"/>
        <v>0</v>
      </c>
      <c r="Q140" s="1">
        <v>247530.530134254</v>
      </c>
      <c r="S140" s="1">
        <v>46.7203805446624</v>
      </c>
      <c r="U140" s="1">
        <v>80794.0005715778</v>
      </c>
      <c r="V140" s="1">
        <v>3.78950405120849</v>
      </c>
      <c r="X140" s="1">
        <v>245174.726952281</v>
      </c>
      <c r="Y140" s="1">
        <v>8.18100523948669</v>
      </c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D141" s="1" t="s">
        <v>27</v>
      </c>
      <c r="E141" s="1">
        <v>70.0</v>
      </c>
      <c r="F141" s="1">
        <v>15.0</v>
      </c>
      <c r="H141" s="1">
        <v>245751.675147898</v>
      </c>
      <c r="I141" s="1">
        <v>6.90137004852294</v>
      </c>
      <c r="J141" s="1">
        <v>347777.0</v>
      </c>
      <c r="K141" s="1">
        <v>306592.999999999</v>
      </c>
      <c r="L141" s="1">
        <v>306592.999999999</v>
      </c>
      <c r="M141" s="1">
        <v>425.590740680694</v>
      </c>
      <c r="N141" s="1">
        <v>32817.0</v>
      </c>
      <c r="O141" s="5">
        <f t="shared" si="13"/>
        <v>0</v>
      </c>
      <c r="Q141" s="1">
        <v>245949.200391817</v>
      </c>
      <c r="S141" s="1">
        <v>44.2391281127929</v>
      </c>
      <c r="U141" s="1">
        <v>79460.0047569673</v>
      </c>
      <c r="V141" s="1">
        <v>4.19910407066345</v>
      </c>
      <c r="X141" s="1">
        <v>243629.520422454</v>
      </c>
      <c r="Y141" s="1">
        <v>19.1729490756988</v>
      </c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D142" s="1" t="s">
        <v>28</v>
      </c>
      <c r="E142" s="1">
        <v>70.0</v>
      </c>
      <c r="F142" s="1">
        <v>15.0</v>
      </c>
      <c r="H142" s="1">
        <v>239245.674819468</v>
      </c>
      <c r="I142" s="1">
        <v>6.93009185791015</v>
      </c>
      <c r="J142" s="1">
        <v>332758.0</v>
      </c>
      <c r="K142" s="1">
        <v>295767.0</v>
      </c>
      <c r="L142" s="1">
        <v>295767.0</v>
      </c>
      <c r="M142" s="1">
        <v>610.259445428848</v>
      </c>
      <c r="N142" s="1">
        <v>44951.0</v>
      </c>
      <c r="O142" s="5">
        <f t="shared" si="13"/>
        <v>0</v>
      </c>
      <c r="Q142" s="1">
        <v>239424.770766492</v>
      </c>
      <c r="S142" s="1">
        <v>41.4460401535034</v>
      </c>
      <c r="U142" s="1">
        <v>77485.0003378303</v>
      </c>
      <c r="V142" s="1">
        <v>4.33935689926147</v>
      </c>
      <c r="X142" s="1">
        <v>236804.729987259</v>
      </c>
      <c r="Y142" s="1">
        <v>9.69439649581909</v>
      </c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D143" s="1" t="s">
        <v>29</v>
      </c>
      <c r="E143" s="1">
        <v>70.0</v>
      </c>
      <c r="F143" s="1">
        <v>15.0</v>
      </c>
      <c r="H143" s="1">
        <v>238991.675659654</v>
      </c>
      <c r="I143" s="1">
        <v>6.92437410354614</v>
      </c>
      <c r="J143" s="1">
        <v>343830.0</v>
      </c>
      <c r="K143" s="1">
        <v>296450.999999999</v>
      </c>
      <c r="L143" s="1">
        <v>296450.999999999</v>
      </c>
      <c r="M143" s="1">
        <v>312.02396941185</v>
      </c>
      <c r="N143" s="1">
        <v>24161.0</v>
      </c>
      <c r="O143" s="5">
        <f t="shared" si="13"/>
        <v>0</v>
      </c>
      <c r="Q143" s="1">
        <v>239196.522931762</v>
      </c>
      <c r="S143" s="1">
        <v>38.3573744297027</v>
      </c>
      <c r="U143" s="1">
        <v>77363.9657688236</v>
      </c>
      <c r="V143" s="1">
        <v>28.8134515285491</v>
      </c>
      <c r="X143" s="1">
        <v>236446.992206515</v>
      </c>
      <c r="Y143" s="1">
        <v>9.1893413066864</v>
      </c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D144" s="1" t="s">
        <v>30</v>
      </c>
      <c r="E144" s="1">
        <v>70.0</v>
      </c>
      <c r="F144" s="1">
        <v>15.0</v>
      </c>
      <c r="H144" s="1">
        <v>250294.828653916</v>
      </c>
      <c r="I144" s="1">
        <v>6.91934180259704</v>
      </c>
      <c r="J144" s="1">
        <v>363842.0</v>
      </c>
      <c r="K144" s="1">
        <v>317142.999999999</v>
      </c>
      <c r="L144" s="1">
        <v>317142.999999999</v>
      </c>
      <c r="M144" s="1">
        <v>453.873697519302</v>
      </c>
      <c r="N144" s="1">
        <v>35517.0</v>
      </c>
      <c r="O144" s="5">
        <f t="shared" si="13"/>
        <v>0</v>
      </c>
      <c r="Q144" s="1">
        <v>250492.828947919</v>
      </c>
      <c r="S144" s="1">
        <v>43.7830817699432</v>
      </c>
      <c r="U144" s="1">
        <v>77426.7576456643</v>
      </c>
      <c r="V144" s="1">
        <v>3.94675016403198</v>
      </c>
      <c r="X144" s="1">
        <v>248743.944560393</v>
      </c>
      <c r="Y144" s="1">
        <v>14.4595439434051</v>
      </c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D145" s="1" t="s">
        <v>31</v>
      </c>
      <c r="E145" s="1">
        <v>70.0</v>
      </c>
      <c r="F145" s="1">
        <v>15.0</v>
      </c>
      <c r="H145" s="1">
        <v>244186.892307644</v>
      </c>
      <c r="I145" s="1">
        <v>6.91238451004028</v>
      </c>
      <c r="J145" s="1">
        <v>361095.0</v>
      </c>
      <c r="K145" s="1">
        <v>304074.999999999</v>
      </c>
      <c r="L145" s="1">
        <v>304074.999999999</v>
      </c>
      <c r="M145" s="1">
        <v>92.8077933788299</v>
      </c>
      <c r="N145" s="1">
        <v>7937.0</v>
      </c>
      <c r="O145" s="5">
        <f t="shared" si="13"/>
        <v>0</v>
      </c>
      <c r="Q145" s="1">
        <v>244382.894197275</v>
      </c>
      <c r="S145" s="1">
        <v>45.4967882633209</v>
      </c>
      <c r="U145" s="1">
        <v>79850.8196032327</v>
      </c>
      <c r="V145" s="1">
        <v>4.23907351493835</v>
      </c>
      <c r="X145" s="1">
        <v>241557.943787509</v>
      </c>
      <c r="Y145" s="1">
        <v>13.5312330722808</v>
      </c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D146" s="1" t="s">
        <v>32</v>
      </c>
      <c r="E146" s="1">
        <v>70.0</v>
      </c>
      <c r="F146" s="1">
        <v>15.0</v>
      </c>
      <c r="H146" s="1">
        <v>258161.598255364</v>
      </c>
      <c r="I146" s="1">
        <v>6.92764115333557</v>
      </c>
      <c r="J146" s="1">
        <v>350420.0</v>
      </c>
      <c r="K146" s="1">
        <v>314536.0</v>
      </c>
      <c r="L146" s="1">
        <v>314536.0</v>
      </c>
      <c r="M146" s="1">
        <v>321.84048962593</v>
      </c>
      <c r="N146" s="1">
        <v>25383.0</v>
      </c>
      <c r="O146" s="5">
        <f t="shared" si="13"/>
        <v>0</v>
      </c>
      <c r="Q146" s="1">
        <v>258354.766471921</v>
      </c>
      <c r="S146" s="1">
        <v>30.386147737503</v>
      </c>
      <c r="U146" s="1">
        <v>80254.6461307259</v>
      </c>
      <c r="V146" s="1">
        <v>3.34141373634338</v>
      </c>
      <c r="X146" s="1">
        <v>256292.318124169</v>
      </c>
      <c r="Y146" s="1">
        <v>16.4722619056701</v>
      </c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D147" s="1" t="s">
        <v>33</v>
      </c>
      <c r="E147" s="1">
        <v>70.0</v>
      </c>
      <c r="F147" s="1">
        <v>15.0</v>
      </c>
      <c r="H147" s="1">
        <v>258080.859035879</v>
      </c>
      <c r="I147" s="1">
        <v>7.10074591636657</v>
      </c>
      <c r="J147" s="1">
        <v>391472.0</v>
      </c>
      <c r="K147" s="1">
        <v>337545.999999999</v>
      </c>
      <c r="L147" s="1">
        <v>337545.999999999</v>
      </c>
      <c r="M147" s="1">
        <v>2080.50802326202</v>
      </c>
      <c r="N147" s="1">
        <v>109651.0</v>
      </c>
      <c r="O147" s="5">
        <f t="shared" si="13"/>
        <v>0</v>
      </c>
      <c r="Q147" s="1">
        <v>258274.642498892</v>
      </c>
      <c r="S147" s="1">
        <v>32.50235414505</v>
      </c>
      <c r="U147" s="1">
        <v>80050.1772443552</v>
      </c>
      <c r="V147" s="1">
        <v>3.56305909156799</v>
      </c>
      <c r="X147" s="1">
        <v>255684.008174257</v>
      </c>
      <c r="Y147" s="1">
        <v>8.13255763053894</v>
      </c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D148" s="1" t="s">
        <v>34</v>
      </c>
      <c r="E148" s="1">
        <v>70.0</v>
      </c>
      <c r="F148" s="1">
        <v>15.0</v>
      </c>
      <c r="H148" s="1">
        <v>240799.257365184</v>
      </c>
      <c r="I148" s="1">
        <v>6.88164472579956</v>
      </c>
      <c r="J148" s="1">
        <v>368557.0</v>
      </c>
      <c r="K148" s="1">
        <v>302020.999999999</v>
      </c>
      <c r="L148" s="1">
        <v>302020.999999999</v>
      </c>
      <c r="M148" s="1">
        <v>187.270698547363</v>
      </c>
      <c r="N148" s="1">
        <v>15437.0</v>
      </c>
      <c r="O148" s="5">
        <f t="shared" si="13"/>
        <v>0</v>
      </c>
      <c r="Q148" s="1">
        <v>240970.574492603</v>
      </c>
      <c r="S148" s="1">
        <v>33.8424348831176</v>
      </c>
      <c r="U148" s="1">
        <v>78637.0162208664</v>
      </c>
      <c r="V148" s="1">
        <v>3.45845651626586</v>
      </c>
      <c r="X148" s="1">
        <v>239504.167634826</v>
      </c>
      <c r="Y148" s="1">
        <v>8.65280389785766</v>
      </c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D149" s="1" t="s">
        <v>35</v>
      </c>
      <c r="E149" s="1">
        <v>70.0</v>
      </c>
      <c r="F149" s="1">
        <v>15.0</v>
      </c>
      <c r="H149" s="1">
        <v>236379.595291283</v>
      </c>
      <c r="I149" s="1">
        <v>7.08282256126403</v>
      </c>
      <c r="J149" s="1">
        <v>325324.0</v>
      </c>
      <c r="K149" s="1">
        <v>293302.0</v>
      </c>
      <c r="L149" s="1">
        <v>293302.0</v>
      </c>
      <c r="M149" s="1">
        <v>268.610830307006</v>
      </c>
      <c r="N149" s="1">
        <v>21839.0</v>
      </c>
      <c r="O149" s="5">
        <f t="shared" si="13"/>
        <v>0</v>
      </c>
      <c r="Q149" s="1">
        <v>236540.973006152</v>
      </c>
      <c r="S149" s="1">
        <v>25.5903630256652</v>
      </c>
      <c r="U149" s="1">
        <v>74829.0197317643</v>
      </c>
      <c r="V149" s="1">
        <v>3.46601605415344</v>
      </c>
      <c r="X149" s="1">
        <v>233923.653069725</v>
      </c>
      <c r="Y149" s="1">
        <v>8.60091948509216</v>
      </c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D150" s="1" t="s">
        <v>36</v>
      </c>
      <c r="E150" s="1">
        <v>70.0</v>
      </c>
      <c r="F150" s="1">
        <v>15.0</v>
      </c>
      <c r="H150" s="1">
        <v>245373.781926933</v>
      </c>
      <c r="I150" s="1">
        <v>6.91001200675964</v>
      </c>
      <c r="J150" s="1">
        <v>288431.0</v>
      </c>
      <c r="K150" s="1">
        <v>277723.0</v>
      </c>
      <c r="L150" s="1">
        <v>277723.0</v>
      </c>
      <c r="M150" s="1">
        <v>19.7249267101287</v>
      </c>
      <c r="N150" s="1">
        <v>1215.0</v>
      </c>
      <c r="O150" s="5">
        <f t="shared" si="13"/>
        <v>0</v>
      </c>
      <c r="Q150" s="1">
        <v>245566.133447738</v>
      </c>
      <c r="S150" s="1">
        <v>59.5564739704132</v>
      </c>
      <c r="U150" s="1">
        <v>80825.0323061643</v>
      </c>
      <c r="V150" s="1">
        <v>3.48173069953918</v>
      </c>
      <c r="X150" s="1">
        <v>241968.618892761</v>
      </c>
      <c r="Y150" s="1">
        <v>15.7408521175384</v>
      </c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D151" s="1" t="s">
        <v>37</v>
      </c>
      <c r="E151" s="1">
        <v>70.0</v>
      </c>
      <c r="F151" s="1">
        <v>15.0</v>
      </c>
      <c r="H151" s="1">
        <v>259006.419061121</v>
      </c>
      <c r="I151" s="1">
        <v>6.89932107925415</v>
      </c>
      <c r="J151" s="1">
        <v>340913.0</v>
      </c>
      <c r="K151" s="1">
        <v>293703.0</v>
      </c>
      <c r="L151" s="1">
        <v>293703.0</v>
      </c>
      <c r="M151" s="1">
        <v>24.937311887741</v>
      </c>
      <c r="N151" s="1">
        <v>1681.0</v>
      </c>
      <c r="O151" s="5">
        <f t="shared" si="13"/>
        <v>0</v>
      </c>
      <c r="Q151" s="1">
        <v>259196.550713016</v>
      </c>
      <c r="S151" s="1">
        <v>36.7114145755767</v>
      </c>
      <c r="U151" s="1">
        <v>81381.1065600774</v>
      </c>
      <c r="V151" s="1">
        <v>3.80976772308349</v>
      </c>
      <c r="X151" s="1">
        <v>255405.487431346</v>
      </c>
      <c r="Y151" s="1">
        <v>17.5658242702484</v>
      </c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D152" s="1" t="s">
        <v>38</v>
      </c>
      <c r="E152" s="1">
        <v>70.0</v>
      </c>
      <c r="F152" s="1">
        <v>15.0</v>
      </c>
      <c r="H152" s="1">
        <v>233278.883307085</v>
      </c>
      <c r="I152" s="1">
        <v>6.92928767204284</v>
      </c>
      <c r="J152" s="1">
        <v>306226.0</v>
      </c>
      <c r="K152" s="1">
        <v>287773.0</v>
      </c>
      <c r="L152" s="1">
        <v>287773.0</v>
      </c>
      <c r="M152" s="1">
        <v>384.249886751174</v>
      </c>
      <c r="N152" s="1">
        <v>30455.0</v>
      </c>
      <c r="O152" s="5">
        <f t="shared" si="13"/>
        <v>0</v>
      </c>
      <c r="Q152" s="1">
        <v>233445.648180362</v>
      </c>
      <c r="S152" s="1">
        <v>41.9102957248687</v>
      </c>
      <c r="U152" s="1">
        <v>77933.9935946627</v>
      </c>
      <c r="V152" s="1">
        <v>23.1375639438629</v>
      </c>
      <c r="X152" s="1">
        <v>230643.252924175</v>
      </c>
      <c r="Y152" s="1">
        <v>12.8702030181884</v>
      </c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D153" s="1" t="s">
        <v>39</v>
      </c>
      <c r="E153" s="1">
        <v>70.0</v>
      </c>
      <c r="F153" s="1">
        <v>15.0</v>
      </c>
      <c r="H153" s="1">
        <v>239030.687090059</v>
      </c>
      <c r="I153" s="1">
        <v>6.94486951828002</v>
      </c>
      <c r="J153" s="1">
        <v>317921.0</v>
      </c>
      <c r="K153" s="1">
        <v>295476.0</v>
      </c>
      <c r="L153" s="1">
        <v>295476.0</v>
      </c>
      <c r="M153" s="1">
        <v>169.317720413208</v>
      </c>
      <c r="N153" s="1">
        <v>14265.0</v>
      </c>
      <c r="O153" s="5">
        <f t="shared" si="13"/>
        <v>0</v>
      </c>
      <c r="Q153" s="1">
        <v>239201.410914494</v>
      </c>
      <c r="S153" s="1">
        <v>48.9189460277557</v>
      </c>
      <c r="U153" s="1">
        <v>77061.1618238284</v>
      </c>
      <c r="V153" s="1">
        <v>3.56638312339782</v>
      </c>
      <c r="X153" s="1">
        <v>234261.557239215</v>
      </c>
      <c r="Y153" s="1">
        <v>11.819729566574</v>
      </c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D154" s="1" t="s">
        <v>40</v>
      </c>
      <c r="E154" s="1">
        <v>70.0</v>
      </c>
      <c r="F154" s="1">
        <v>15.0</v>
      </c>
      <c r="H154" s="1">
        <v>247561.100167558</v>
      </c>
      <c r="I154" s="1">
        <v>6.8911657333374</v>
      </c>
      <c r="J154" s="1">
        <v>300157.999999999</v>
      </c>
      <c r="K154" s="1">
        <v>285325.0</v>
      </c>
      <c r="L154" s="1">
        <v>285325.0</v>
      </c>
      <c r="M154" s="1">
        <v>95.1743853092193</v>
      </c>
      <c r="N154" s="1">
        <v>7709.0</v>
      </c>
      <c r="O154" s="5">
        <f t="shared" si="13"/>
        <v>0</v>
      </c>
      <c r="Q154" s="1">
        <v>247747.259059473</v>
      </c>
      <c r="S154" s="1">
        <v>40.1738195419311</v>
      </c>
      <c r="U154" s="1">
        <v>81891.4346887108</v>
      </c>
      <c r="V154" s="1">
        <v>4.42638778686523</v>
      </c>
      <c r="X154" s="1">
        <v>245780.180417922</v>
      </c>
      <c r="Y154" s="1">
        <v>23.0081267356872</v>
      </c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D155" s="1" t="s">
        <v>41</v>
      </c>
      <c r="E155" s="1">
        <v>70.0</v>
      </c>
      <c r="F155" s="1">
        <v>15.0</v>
      </c>
      <c r="H155" s="1">
        <v>243638.410876524</v>
      </c>
      <c r="I155" s="1">
        <v>6.90792655944824</v>
      </c>
      <c r="J155" s="1">
        <v>342928.0</v>
      </c>
      <c r="K155" s="1">
        <v>291855.0</v>
      </c>
      <c r="L155" s="1">
        <v>291855.0</v>
      </c>
      <c r="M155" s="1">
        <v>90.9501717090606</v>
      </c>
      <c r="N155" s="1">
        <v>7497.0</v>
      </c>
      <c r="O155" s="5">
        <f t="shared" si="13"/>
        <v>0</v>
      </c>
      <c r="Q155" s="1">
        <v>243818.781091052</v>
      </c>
      <c r="S155" s="1">
        <v>33.9832882881164</v>
      </c>
      <c r="U155" s="1">
        <v>80376.0006098587</v>
      </c>
      <c r="V155" s="1">
        <v>4.63426113128662</v>
      </c>
      <c r="X155" s="1">
        <v>240781.836856936</v>
      </c>
      <c r="Y155" s="1">
        <v>10.5039300918579</v>
      </c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D156" s="1" t="s">
        <v>42</v>
      </c>
      <c r="E156" s="1">
        <v>70.0</v>
      </c>
      <c r="F156" s="1">
        <v>15.0</v>
      </c>
      <c r="H156" s="1">
        <v>241447.200000186</v>
      </c>
      <c r="I156" s="1">
        <v>6.92067646980285</v>
      </c>
      <c r="J156" s="1">
        <v>335430.0</v>
      </c>
      <c r="K156" s="1">
        <v>297518.0</v>
      </c>
      <c r="L156" s="1">
        <v>297518.0</v>
      </c>
      <c r="M156" s="1">
        <v>830.893025875091</v>
      </c>
      <c r="N156" s="1">
        <v>56611.0</v>
      </c>
      <c r="O156" s="5">
        <f t="shared" si="13"/>
        <v>0</v>
      </c>
      <c r="Q156" s="1">
        <v>241645.219691019</v>
      </c>
      <c r="S156" s="1">
        <v>47.3373477458953</v>
      </c>
      <c r="U156" s="1">
        <v>79601.1481779648</v>
      </c>
      <c r="V156" s="1">
        <v>3.83208870887756</v>
      </c>
      <c r="X156" s="1">
        <v>239088.86869581</v>
      </c>
      <c r="Y156" s="1">
        <v>19.7447805404663</v>
      </c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D157" s="1" t="s">
        <v>43</v>
      </c>
      <c r="E157" s="1">
        <v>70.0</v>
      </c>
      <c r="F157" s="1">
        <v>15.0</v>
      </c>
      <c r="H157" s="1">
        <v>248557.031538848</v>
      </c>
      <c r="I157" s="1">
        <v>6.89744877815246</v>
      </c>
      <c r="J157" s="1">
        <v>358490.999999999</v>
      </c>
      <c r="K157" s="1">
        <v>313690.0</v>
      </c>
      <c r="L157" s="1">
        <v>313690.0</v>
      </c>
      <c r="M157" s="1">
        <v>299.959262371063</v>
      </c>
      <c r="N157" s="1">
        <v>25141.0</v>
      </c>
      <c r="O157" s="5">
        <f t="shared" si="13"/>
        <v>0</v>
      </c>
      <c r="Q157" s="1">
        <v>248731.643895879</v>
      </c>
      <c r="S157" s="1">
        <v>32.0504400730133</v>
      </c>
      <c r="U157" s="1">
        <v>80521.0384648939</v>
      </c>
      <c r="V157" s="1">
        <v>4.02238750457763</v>
      </c>
      <c r="X157" s="1">
        <v>244840.160289527</v>
      </c>
      <c r="Y157" s="1">
        <v>9.60334277153015</v>
      </c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D158" s="1" t="s">
        <v>44</v>
      </c>
      <c r="E158" s="1">
        <v>70.0</v>
      </c>
      <c r="F158" s="1">
        <v>15.0</v>
      </c>
      <c r="H158" s="1">
        <v>241489.589043912</v>
      </c>
      <c r="I158" s="1">
        <v>6.9409327507019</v>
      </c>
      <c r="J158" s="1">
        <v>320339.0</v>
      </c>
      <c r="K158" s="1">
        <v>289557.0</v>
      </c>
      <c r="L158" s="1">
        <v>289557.0</v>
      </c>
      <c r="M158" s="1">
        <v>172.802387952804</v>
      </c>
      <c r="N158" s="1">
        <v>14181.0</v>
      </c>
      <c r="O158" s="5">
        <f t="shared" si="13"/>
        <v>0</v>
      </c>
      <c r="Q158" s="1">
        <v>241661.778486313</v>
      </c>
      <c r="S158" s="1">
        <v>35.4977629184722</v>
      </c>
      <c r="U158" s="1">
        <v>80477.9871689948</v>
      </c>
      <c r="V158" s="1">
        <v>3.93003487586975</v>
      </c>
      <c r="X158" s="1">
        <v>238920.184442071</v>
      </c>
      <c r="Y158" s="1">
        <v>8.2058846950531</v>
      </c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D159" s="1" t="s">
        <v>45</v>
      </c>
      <c r="E159" s="1">
        <v>70.0</v>
      </c>
      <c r="F159" s="1">
        <v>15.0</v>
      </c>
      <c r="H159" s="1">
        <v>250528.803649585</v>
      </c>
      <c r="I159" s="1">
        <v>6.8779273033142</v>
      </c>
      <c r="J159" s="1">
        <v>340835.0</v>
      </c>
      <c r="K159" s="1">
        <v>299019.0</v>
      </c>
      <c r="L159" s="1">
        <v>299019.0</v>
      </c>
      <c r="M159" s="1">
        <v>76.3163321018219</v>
      </c>
      <c r="N159" s="1">
        <v>6345.0</v>
      </c>
      <c r="O159" s="5">
        <f t="shared" si="13"/>
        <v>0</v>
      </c>
      <c r="Q159" s="1">
        <v>250705.504256739</v>
      </c>
      <c r="S159" s="1">
        <v>42.7546687126159</v>
      </c>
      <c r="U159" s="1">
        <v>82650.8100843783</v>
      </c>
      <c r="V159" s="1">
        <v>6.33706736564636</v>
      </c>
      <c r="X159" s="1">
        <v>247454.811765862</v>
      </c>
      <c r="Y159" s="1">
        <v>15.9329166412353</v>
      </c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D160" s="1"/>
      <c r="E160" s="6">
        <f t="shared" ref="E160:F160" si="14">AVERAGE(E130:E159)</f>
        <v>70</v>
      </c>
      <c r="F160" s="6">
        <f t="shared" si="14"/>
        <v>15</v>
      </c>
      <c r="H160" s="6">
        <f t="shared" ref="H160:O160" si="15">AVERAGE(H130:H159)</f>
        <v>243365.8549</v>
      </c>
      <c r="I160" s="6">
        <f t="shared" si="15"/>
        <v>6.934984732</v>
      </c>
      <c r="J160" s="6">
        <f t="shared" si="15"/>
        <v>338121.2667</v>
      </c>
      <c r="K160" s="6">
        <f t="shared" si="15"/>
        <v>300012.3667</v>
      </c>
      <c r="L160" s="6">
        <f t="shared" si="15"/>
        <v>300001.2738</v>
      </c>
      <c r="M160" s="6">
        <f t="shared" si="15"/>
        <v>525.477072</v>
      </c>
      <c r="N160" s="6">
        <f t="shared" si="15"/>
        <v>32981.93333</v>
      </c>
      <c r="O160" s="6">
        <f t="shared" si="15"/>
        <v>0.003528920884</v>
      </c>
      <c r="Q160" s="6">
        <f>AVERAGE(Q130:Q159)</f>
        <v>243546.2718</v>
      </c>
      <c r="S160" s="6">
        <f>AVERAGE(S130:S159)</f>
        <v>40.41408025</v>
      </c>
    </row>
    <row r="161">
      <c r="D161" s="1" t="s">
        <v>16</v>
      </c>
      <c r="E161" s="1">
        <v>70.0</v>
      </c>
      <c r="F161" s="1">
        <v>20.0</v>
      </c>
      <c r="H161" s="1">
        <v>384568.329966567</v>
      </c>
      <c r="I161" s="1">
        <v>7.22923779487609</v>
      </c>
      <c r="J161" s="1">
        <v>414144.0</v>
      </c>
      <c r="K161" s="1">
        <v>414144.0</v>
      </c>
      <c r="L161" s="1">
        <v>414144.0</v>
      </c>
      <c r="M161" s="1">
        <v>22.3267314434051</v>
      </c>
      <c r="N161" s="1">
        <v>1565.0</v>
      </c>
      <c r="O161" s="5">
        <f t="shared" ref="O161:O190" si="16">100*(K161-L161)/K161</f>
        <v>0</v>
      </c>
      <c r="Q161" s="1">
        <v>384789.02006025</v>
      </c>
      <c r="S161" s="1">
        <v>40.6796176433563</v>
      </c>
      <c r="U161" s="1">
        <v>84209.3775340428</v>
      </c>
      <c r="V161" s="1">
        <v>3.76324534416198</v>
      </c>
      <c r="X161" s="1">
        <v>378814.648499857</v>
      </c>
      <c r="Y161" s="1">
        <v>16.4647011756896</v>
      </c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D162" s="1" t="s">
        <v>17</v>
      </c>
      <c r="E162" s="1">
        <v>70.0</v>
      </c>
      <c r="F162" s="1">
        <v>20.0</v>
      </c>
      <c r="H162" s="1">
        <v>434549.820514005</v>
      </c>
      <c r="I162" s="1">
        <v>7.01772952079772</v>
      </c>
      <c r="J162" s="1">
        <v>597457.0</v>
      </c>
      <c r="K162" s="1">
        <v>496741.999999999</v>
      </c>
      <c r="L162" s="1">
        <v>496741.999999999</v>
      </c>
      <c r="M162" s="1">
        <v>51.4495568275451</v>
      </c>
      <c r="N162" s="1">
        <v>4597.0</v>
      </c>
      <c r="O162" s="5">
        <f t="shared" si="16"/>
        <v>0</v>
      </c>
      <c r="Q162" s="1">
        <v>434736.686489281</v>
      </c>
      <c r="S162" s="1">
        <v>61.14044880867</v>
      </c>
      <c r="U162" s="1">
        <v>87367.4604108294</v>
      </c>
      <c r="V162" s="1">
        <v>16.5109167098999</v>
      </c>
      <c r="X162" s="1">
        <v>429571.612405577</v>
      </c>
      <c r="Y162" s="1">
        <v>9.20658612251281</v>
      </c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D163" s="1" t="s">
        <v>18</v>
      </c>
      <c r="E163" s="1">
        <v>70.0</v>
      </c>
      <c r="F163" s="1">
        <v>20.0</v>
      </c>
      <c r="H163" s="1">
        <v>381221.435603056</v>
      </c>
      <c r="I163" s="1">
        <v>7.03950953483581</v>
      </c>
      <c r="J163" s="1">
        <v>425353.999999999</v>
      </c>
      <c r="K163" s="1">
        <v>423822.999999999</v>
      </c>
      <c r="L163" s="1">
        <v>423822.999999999</v>
      </c>
      <c r="M163" s="1">
        <v>48.0856676101684</v>
      </c>
      <c r="N163" s="1">
        <v>4423.0</v>
      </c>
      <c r="O163" s="5">
        <f t="shared" si="16"/>
        <v>0</v>
      </c>
      <c r="Q163" s="1">
        <v>381433.495639496</v>
      </c>
      <c r="S163" s="1">
        <v>52.4606392383575</v>
      </c>
      <c r="U163" s="1">
        <v>85786.5490540969</v>
      </c>
      <c r="V163" s="1">
        <v>3.96540594100952</v>
      </c>
      <c r="X163" s="1">
        <v>376789.690666818</v>
      </c>
      <c r="Y163" s="1">
        <v>11.8701603412628</v>
      </c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D164" s="1" t="s">
        <v>19</v>
      </c>
      <c r="E164" s="1">
        <v>70.0</v>
      </c>
      <c r="F164" s="1">
        <v>20.0</v>
      </c>
      <c r="H164" s="1">
        <v>416751.978430983</v>
      </c>
      <c r="I164" s="1">
        <v>7.03498220443725</v>
      </c>
      <c r="J164" s="1">
        <v>511259.0</v>
      </c>
      <c r="K164" s="1">
        <v>476877.0</v>
      </c>
      <c r="L164" s="1">
        <v>476877.0</v>
      </c>
      <c r="M164" s="1">
        <v>47.870901107788</v>
      </c>
      <c r="N164" s="1">
        <v>4085.0</v>
      </c>
      <c r="O164" s="5">
        <f t="shared" si="16"/>
        <v>0</v>
      </c>
      <c r="Q164" s="1">
        <v>416917.019063662</v>
      </c>
      <c r="S164" s="1">
        <v>35.3665759563446</v>
      </c>
      <c r="U164" s="1">
        <v>85214.9662306093</v>
      </c>
      <c r="V164" s="1">
        <v>5.30230522155761</v>
      </c>
      <c r="X164" s="1">
        <v>413426.000994567</v>
      </c>
      <c r="Y164" s="1">
        <v>12.2860672473907</v>
      </c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D165" s="1" t="s">
        <v>20</v>
      </c>
      <c r="E165" s="1">
        <v>70.0</v>
      </c>
      <c r="F165" s="1">
        <v>20.0</v>
      </c>
      <c r="H165" s="1">
        <v>436041.294149634</v>
      </c>
      <c r="I165" s="1">
        <v>7.00650930404663</v>
      </c>
      <c r="J165" s="1">
        <v>534871.0</v>
      </c>
      <c r="K165" s="1">
        <v>484679.999999999</v>
      </c>
      <c r="L165" s="1">
        <v>484679.999999999</v>
      </c>
      <c r="M165" s="1">
        <v>192.377870321273</v>
      </c>
      <c r="N165" s="1">
        <v>15803.0</v>
      </c>
      <c r="O165" s="5">
        <f t="shared" si="16"/>
        <v>0</v>
      </c>
      <c r="Q165" s="1">
        <v>436299.587200608</v>
      </c>
      <c r="S165" s="1">
        <v>27.5577821731567</v>
      </c>
      <c r="U165" s="1">
        <v>87059.6936880928</v>
      </c>
      <c r="V165" s="1">
        <v>3.50947999954223</v>
      </c>
      <c r="X165" s="1">
        <v>426486.563541166</v>
      </c>
      <c r="Y165" s="1">
        <v>13.8839633464813</v>
      </c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D166" s="1" t="s">
        <v>21</v>
      </c>
      <c r="E166" s="1">
        <v>70.0</v>
      </c>
      <c r="F166" s="1">
        <v>20.0</v>
      </c>
      <c r="H166" s="1">
        <v>387939.583848355</v>
      </c>
      <c r="I166" s="1">
        <v>6.98561286926269</v>
      </c>
      <c r="J166" s="1">
        <v>433893.0</v>
      </c>
      <c r="K166" s="1">
        <v>432197.0</v>
      </c>
      <c r="L166" s="1">
        <v>432197.0</v>
      </c>
      <c r="M166" s="1">
        <v>123.554110765457</v>
      </c>
      <c r="N166" s="1">
        <v>12173.0</v>
      </c>
      <c r="O166" s="5">
        <f t="shared" si="16"/>
        <v>0</v>
      </c>
      <c r="Q166" s="1">
        <v>388177.710891604</v>
      </c>
      <c r="S166" s="1">
        <v>57.1787574291229</v>
      </c>
      <c r="U166" s="1">
        <v>85488.003030855</v>
      </c>
      <c r="V166" s="1">
        <v>4.79510593414306</v>
      </c>
      <c r="X166" s="1">
        <v>381757.525439992</v>
      </c>
      <c r="Y166" s="1">
        <v>16.480420589447</v>
      </c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D167" s="1" t="s">
        <v>22</v>
      </c>
      <c r="E167" s="1">
        <v>70.0</v>
      </c>
      <c r="F167" s="1">
        <v>20.0</v>
      </c>
      <c r="H167" s="1">
        <v>420133.127658019</v>
      </c>
      <c r="I167" s="1">
        <v>7.00924611091613</v>
      </c>
      <c r="J167" s="1">
        <v>502341.0</v>
      </c>
      <c r="K167" s="1">
        <v>478861.0</v>
      </c>
      <c r="L167" s="1">
        <v>478861.0</v>
      </c>
      <c r="M167" s="1">
        <v>80.8391549587249</v>
      </c>
      <c r="N167" s="1">
        <v>7117.0</v>
      </c>
      <c r="O167" s="5">
        <f t="shared" si="16"/>
        <v>0</v>
      </c>
      <c r="Q167" s="1">
        <v>420305.146626185</v>
      </c>
      <c r="S167" s="1">
        <v>17.9750583171844</v>
      </c>
      <c r="U167" s="1">
        <v>86229.4460106902</v>
      </c>
      <c r="V167" s="1">
        <v>4.06255650520324</v>
      </c>
      <c r="X167" s="1">
        <v>415194.8615132</v>
      </c>
      <c r="Y167" s="1">
        <v>12.5266637802124</v>
      </c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D168" s="1" t="s">
        <v>23</v>
      </c>
      <c r="E168" s="1">
        <v>70.0</v>
      </c>
      <c r="F168" s="1">
        <v>20.0</v>
      </c>
      <c r="H168" s="1">
        <v>421086.140989709</v>
      </c>
      <c r="I168" s="1">
        <v>6.98770332336425</v>
      </c>
      <c r="J168" s="1">
        <v>557350.0</v>
      </c>
      <c r="K168" s="1">
        <v>490976.999999999</v>
      </c>
      <c r="L168" s="1">
        <v>490976.999999999</v>
      </c>
      <c r="M168" s="1">
        <v>768.860161542892</v>
      </c>
      <c r="N168" s="1">
        <v>58407.0</v>
      </c>
      <c r="O168" s="5">
        <f t="shared" si="16"/>
        <v>0</v>
      </c>
      <c r="Q168" s="1">
        <v>421294.085172121</v>
      </c>
      <c r="S168" s="1">
        <v>29.9635105133056</v>
      </c>
      <c r="U168" s="1">
        <v>85502.0053283584</v>
      </c>
      <c r="V168" s="1">
        <v>5.59485602378845</v>
      </c>
      <c r="X168" s="1">
        <v>413375.630471595</v>
      </c>
      <c r="Y168" s="1">
        <v>8.77267432212829</v>
      </c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D169" s="1" t="s">
        <v>24</v>
      </c>
      <c r="E169" s="1">
        <v>70.0</v>
      </c>
      <c r="F169" s="1">
        <v>20.0</v>
      </c>
      <c r="H169" s="1">
        <v>437443.705138721</v>
      </c>
      <c r="I169" s="1">
        <v>7.02199172973632</v>
      </c>
      <c r="J169" s="1">
        <v>520519.0</v>
      </c>
      <c r="K169" s="1">
        <v>478283.999999999</v>
      </c>
      <c r="L169" s="1">
        <v>478283.999999999</v>
      </c>
      <c r="M169" s="1">
        <v>41.4121346473693</v>
      </c>
      <c r="N169" s="1">
        <v>3255.0</v>
      </c>
      <c r="O169" s="5">
        <f t="shared" si="16"/>
        <v>0</v>
      </c>
      <c r="Q169" s="1">
        <v>437676.886729694</v>
      </c>
      <c r="S169" s="1">
        <v>30.7217190265655</v>
      </c>
      <c r="U169" s="1">
        <v>85017.9986622587</v>
      </c>
      <c r="V169" s="1">
        <v>4.07958030700683</v>
      </c>
      <c r="X169" s="1">
        <v>430925.269462947</v>
      </c>
      <c r="Y169" s="1">
        <v>16.8283545970916</v>
      </c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D170" s="1" t="s">
        <v>25</v>
      </c>
      <c r="E170" s="1">
        <v>70.0</v>
      </c>
      <c r="F170" s="1">
        <v>20.0</v>
      </c>
      <c r="H170" s="1">
        <v>457143.123458794</v>
      </c>
      <c r="I170" s="1">
        <v>7.00615453720092</v>
      </c>
      <c r="J170" s="1">
        <v>579142.0</v>
      </c>
      <c r="K170" s="1">
        <v>521771.999999999</v>
      </c>
      <c r="L170" s="1">
        <v>521771.999999999</v>
      </c>
      <c r="M170" s="1">
        <v>425.378711938858</v>
      </c>
      <c r="N170" s="1">
        <v>33059.0</v>
      </c>
      <c r="O170" s="5">
        <f t="shared" si="16"/>
        <v>0</v>
      </c>
      <c r="Q170" s="1">
        <v>457411.415096616</v>
      </c>
      <c r="S170" s="1">
        <v>36.2150690555572</v>
      </c>
      <c r="U170" s="1">
        <v>87121.0217197119</v>
      </c>
      <c r="V170" s="1">
        <v>3.65493583679199</v>
      </c>
      <c r="X170" s="1">
        <v>451254.525394963</v>
      </c>
      <c r="Y170" s="1">
        <v>16.8852503299713</v>
      </c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D171" s="1" t="s">
        <v>26</v>
      </c>
      <c r="E171" s="1">
        <v>70.0</v>
      </c>
      <c r="F171" s="1">
        <v>20.0</v>
      </c>
      <c r="H171" s="1">
        <v>434450.773108746</v>
      </c>
      <c r="I171" s="1">
        <v>7.02593851089477</v>
      </c>
      <c r="J171" s="1">
        <v>490781.0</v>
      </c>
      <c r="K171" s="1">
        <v>487779.0</v>
      </c>
      <c r="L171" s="1">
        <v>487779.0</v>
      </c>
      <c r="M171" s="1">
        <v>48.3561182022094</v>
      </c>
      <c r="N171" s="1">
        <v>4143.0</v>
      </c>
      <c r="O171" s="5">
        <f t="shared" si="16"/>
        <v>0</v>
      </c>
      <c r="Q171" s="1">
        <v>434661.792181911</v>
      </c>
      <c r="S171" s="1">
        <v>44.1617262363433</v>
      </c>
      <c r="U171" s="1">
        <v>88342.0097771738</v>
      </c>
      <c r="V171" s="1">
        <v>3.59753108024597</v>
      </c>
      <c r="X171" s="1">
        <v>430172.022027265</v>
      </c>
      <c r="Y171" s="1">
        <v>12.6105070114135</v>
      </c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D172" s="1" t="s">
        <v>27</v>
      </c>
      <c r="E172" s="1">
        <v>70.0</v>
      </c>
      <c r="F172" s="1">
        <v>20.0</v>
      </c>
      <c r="H172" s="1">
        <v>433614.750702928</v>
      </c>
      <c r="I172" s="1">
        <v>6.99517273902893</v>
      </c>
      <c r="J172" s="1">
        <v>502832.0</v>
      </c>
      <c r="K172" s="1">
        <v>479491.999999999</v>
      </c>
      <c r="L172" s="1">
        <v>479491.999999999</v>
      </c>
      <c r="M172" s="1">
        <v>29.1341955661773</v>
      </c>
      <c r="N172" s="1">
        <v>2259.0</v>
      </c>
      <c r="O172" s="5">
        <f t="shared" si="16"/>
        <v>0</v>
      </c>
      <c r="Q172" s="1">
        <v>433859.858604697</v>
      </c>
      <c r="S172" s="1">
        <v>47.1977763175964</v>
      </c>
      <c r="U172" s="1">
        <v>84007.044167363</v>
      </c>
      <c r="V172" s="1">
        <v>3.89002537727355</v>
      </c>
      <c r="X172" s="1">
        <v>427609.861744122</v>
      </c>
      <c r="Y172" s="1">
        <v>20.6458451747894</v>
      </c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D173" s="1" t="s">
        <v>28</v>
      </c>
      <c r="E173" s="1">
        <v>70.0</v>
      </c>
      <c r="F173" s="1">
        <v>20.0</v>
      </c>
      <c r="H173" s="1">
        <v>419062.464681362</v>
      </c>
      <c r="I173" s="1">
        <v>7.02632236480712</v>
      </c>
      <c r="J173" s="1">
        <v>506607.999999999</v>
      </c>
      <c r="K173" s="1">
        <v>459699.999999999</v>
      </c>
      <c r="L173" s="1">
        <v>459699.999999999</v>
      </c>
      <c r="M173" s="1">
        <v>26.2523534297943</v>
      </c>
      <c r="N173" s="1">
        <v>1931.0</v>
      </c>
      <c r="O173" s="5">
        <f t="shared" si="16"/>
        <v>0</v>
      </c>
      <c r="Q173" s="1">
        <v>419284.564149766</v>
      </c>
      <c r="S173" s="1">
        <v>35.9262499809265</v>
      </c>
      <c r="U173" s="1">
        <v>85227.6222466785</v>
      </c>
      <c r="V173" s="1">
        <v>4.19324016571044</v>
      </c>
      <c r="X173" s="1">
        <v>414177.02868342</v>
      </c>
      <c r="Y173" s="1">
        <v>9.63218021392822</v>
      </c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D174" s="1" t="s">
        <v>29</v>
      </c>
      <c r="E174" s="1">
        <v>70.0</v>
      </c>
      <c r="F174" s="1">
        <v>20.0</v>
      </c>
      <c r="H174" s="1">
        <v>416868.799113141</v>
      </c>
      <c r="I174" s="1">
        <v>7.0210268497467</v>
      </c>
      <c r="J174" s="1">
        <v>513553.0</v>
      </c>
      <c r="K174" s="1">
        <v>471099.999999999</v>
      </c>
      <c r="L174" s="1">
        <v>471099.999999999</v>
      </c>
      <c r="M174" s="1">
        <v>163.712835550308</v>
      </c>
      <c r="N174" s="1">
        <v>14373.0</v>
      </c>
      <c r="O174" s="5">
        <f t="shared" si="16"/>
        <v>0</v>
      </c>
      <c r="Q174" s="1">
        <v>417124.731785861</v>
      </c>
      <c r="S174" s="1">
        <v>34.1738190650939</v>
      </c>
      <c r="U174" s="1">
        <v>85180.9671856649</v>
      </c>
      <c r="V174" s="1">
        <v>3.80199193954467</v>
      </c>
      <c r="X174" s="1">
        <v>410762.688404236</v>
      </c>
      <c r="Y174" s="1">
        <v>18.1765487194061</v>
      </c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D175" s="1" t="s">
        <v>30</v>
      </c>
      <c r="E175" s="1">
        <v>70.0</v>
      </c>
      <c r="F175" s="1">
        <v>20.0</v>
      </c>
      <c r="H175" s="1">
        <v>445812.262098236</v>
      </c>
      <c r="I175" s="1">
        <v>7.01252007484436</v>
      </c>
      <c r="J175" s="1">
        <v>530814.0</v>
      </c>
      <c r="K175" s="1">
        <v>491073.999999999</v>
      </c>
      <c r="L175" s="1">
        <v>491073.999999999</v>
      </c>
      <c r="M175" s="1">
        <v>19.0585062503814</v>
      </c>
      <c r="N175" s="1">
        <v>1239.0</v>
      </c>
      <c r="O175" s="5">
        <f t="shared" si="16"/>
        <v>0</v>
      </c>
      <c r="Q175" s="1">
        <v>446073.536711493</v>
      </c>
      <c r="S175" s="1">
        <v>56.0189518928527</v>
      </c>
      <c r="U175" s="1">
        <v>85985.6524719669</v>
      </c>
      <c r="V175" s="1">
        <v>4.06368231773376</v>
      </c>
      <c r="X175" s="1">
        <v>441705.922347521</v>
      </c>
      <c r="Y175" s="1">
        <v>19.6286587715148</v>
      </c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D176" s="1" t="s">
        <v>31</v>
      </c>
      <c r="E176" s="1">
        <v>70.0</v>
      </c>
      <c r="F176" s="1">
        <v>20.0</v>
      </c>
      <c r="H176" s="1">
        <v>427386.197202521</v>
      </c>
      <c r="I176" s="1">
        <v>7.06547284126281</v>
      </c>
      <c r="J176" s="1">
        <v>599602.0</v>
      </c>
      <c r="K176" s="1">
        <v>485202.0</v>
      </c>
      <c r="L176" s="1">
        <v>485202.0</v>
      </c>
      <c r="M176" s="1">
        <v>28.2416234016418</v>
      </c>
      <c r="N176" s="1">
        <v>2161.0</v>
      </c>
      <c r="O176" s="5">
        <f t="shared" si="16"/>
        <v>0</v>
      </c>
      <c r="Q176" s="1">
        <v>427640.118065554</v>
      </c>
      <c r="S176" s="1">
        <v>52.4487287998199</v>
      </c>
      <c r="U176" s="1">
        <v>86187.0370781475</v>
      </c>
      <c r="V176" s="1">
        <v>3.88769364356994</v>
      </c>
      <c r="X176" s="1">
        <v>421784.847248866</v>
      </c>
      <c r="Y176" s="1">
        <v>8.38296031951904</v>
      </c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D177" s="1" t="s">
        <v>32</v>
      </c>
      <c r="E177" s="1">
        <v>70.0</v>
      </c>
      <c r="F177" s="1">
        <v>20.0</v>
      </c>
      <c r="H177" s="1">
        <v>450315.427483445</v>
      </c>
      <c r="I177" s="1">
        <v>7.02677536010742</v>
      </c>
      <c r="J177" s="1">
        <v>517480.999999999</v>
      </c>
      <c r="K177" s="1">
        <v>491933.999999999</v>
      </c>
      <c r="L177" s="1">
        <v>491933.999999999</v>
      </c>
      <c r="M177" s="1">
        <v>28.2321636676788</v>
      </c>
      <c r="N177" s="1">
        <v>2077.0</v>
      </c>
      <c r="O177" s="5">
        <f t="shared" si="16"/>
        <v>0</v>
      </c>
      <c r="Q177" s="1">
        <v>450560.697515987</v>
      </c>
      <c r="S177" s="1">
        <v>30.392991065979</v>
      </c>
      <c r="U177" s="1">
        <v>87216.1547883283</v>
      </c>
      <c r="V177" s="1">
        <v>3.62526965141296</v>
      </c>
      <c r="X177" s="1">
        <v>444340.6214033</v>
      </c>
      <c r="Y177" s="1">
        <v>22.6818580627441</v>
      </c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D178" s="1" t="s">
        <v>33</v>
      </c>
      <c r="E178" s="1">
        <v>70.0</v>
      </c>
      <c r="F178" s="1">
        <v>20.0</v>
      </c>
      <c r="H178" s="1">
        <v>466007.397340199</v>
      </c>
      <c r="I178" s="1">
        <v>7.0187132358551</v>
      </c>
      <c r="J178" s="1">
        <v>598368.0</v>
      </c>
      <c r="K178" s="1">
        <v>537271.0</v>
      </c>
      <c r="L178" s="1">
        <v>537271.0</v>
      </c>
      <c r="M178" s="1">
        <v>251.306458711624</v>
      </c>
      <c r="N178" s="1">
        <v>21001.0</v>
      </c>
      <c r="O178" s="5">
        <f t="shared" si="16"/>
        <v>0</v>
      </c>
      <c r="Q178" s="1">
        <v>466231.027713022</v>
      </c>
      <c r="S178" s="1">
        <v>26.1095957756042</v>
      </c>
      <c r="U178" s="1">
        <v>87521.001059939</v>
      </c>
      <c r="V178" s="1">
        <v>3.7320601940155</v>
      </c>
      <c r="X178" s="1">
        <v>459282.182291726</v>
      </c>
      <c r="Y178" s="1">
        <v>16.5327961444854</v>
      </c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D179" s="1" t="s">
        <v>34</v>
      </c>
      <c r="E179" s="1">
        <v>70.0</v>
      </c>
      <c r="F179" s="1">
        <v>20.0</v>
      </c>
      <c r="H179" s="1">
        <v>435625.488859646</v>
      </c>
      <c r="I179" s="1">
        <v>7.26316833496093</v>
      </c>
      <c r="J179" s="1">
        <v>579000.0</v>
      </c>
      <c r="K179" s="1">
        <v>485909.999999999</v>
      </c>
      <c r="L179" s="1">
        <v>485909.999999999</v>
      </c>
      <c r="M179" s="1">
        <v>47.4694459438324</v>
      </c>
      <c r="N179" s="1">
        <v>3711.0</v>
      </c>
      <c r="O179" s="5">
        <f t="shared" si="16"/>
        <v>0</v>
      </c>
      <c r="Q179" s="1">
        <v>435855.093368514</v>
      </c>
      <c r="S179" s="1">
        <v>26.3654925823211</v>
      </c>
      <c r="U179" s="1">
        <v>85415.429531199</v>
      </c>
      <c r="V179" s="1">
        <v>3.97735095024108</v>
      </c>
      <c r="X179" s="1">
        <v>428196.930571111</v>
      </c>
      <c r="Y179" s="1">
        <v>11.5006926059722</v>
      </c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D180" s="1" t="s">
        <v>35</v>
      </c>
      <c r="E180" s="1">
        <v>70.0</v>
      </c>
      <c r="F180" s="1">
        <v>20.0</v>
      </c>
      <c r="H180" s="1">
        <v>414478.207318082</v>
      </c>
      <c r="I180" s="1">
        <v>7.0142183303833</v>
      </c>
      <c r="J180" s="1">
        <v>460934.0</v>
      </c>
      <c r="K180" s="1">
        <v>458567.0</v>
      </c>
      <c r="L180" s="1">
        <v>458567.0</v>
      </c>
      <c r="M180" s="1">
        <v>34.1797485351562</v>
      </c>
      <c r="N180" s="1">
        <v>2615.0</v>
      </c>
      <c r="O180" s="5">
        <f t="shared" si="16"/>
        <v>0</v>
      </c>
      <c r="Q180" s="1">
        <v>414695.940249998</v>
      </c>
      <c r="S180" s="1">
        <v>21.3521726131439</v>
      </c>
      <c r="U180" s="1">
        <v>83443.9844922371</v>
      </c>
      <c r="V180" s="1">
        <v>3.61923670768737</v>
      </c>
      <c r="X180" s="1">
        <v>408330.968355522</v>
      </c>
      <c r="Y180" s="1">
        <v>13.1909866333007</v>
      </c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D181" s="1" t="s">
        <v>36</v>
      </c>
      <c r="E181" s="1">
        <v>70.0</v>
      </c>
      <c r="F181" s="1">
        <v>20.0</v>
      </c>
      <c r="H181" s="1">
        <v>425595.081036053</v>
      </c>
      <c r="I181" s="1">
        <v>7.04056763648986</v>
      </c>
      <c r="J181" s="1">
        <v>437359.999999999</v>
      </c>
      <c r="K181" s="1">
        <v>437359.999999999</v>
      </c>
      <c r="L181" s="1">
        <v>437359.999999999</v>
      </c>
      <c r="M181" s="1">
        <v>8.2548222541809</v>
      </c>
      <c r="N181" s="1">
        <v>151.0</v>
      </c>
      <c r="O181" s="5">
        <f t="shared" si="16"/>
        <v>0</v>
      </c>
      <c r="Q181" s="1">
        <v>425816.510694443</v>
      </c>
      <c r="S181" s="1">
        <v>34.7103161811828</v>
      </c>
      <c r="U181" s="1">
        <v>86438.0095001322</v>
      </c>
      <c r="V181" s="1">
        <v>3.55602383613586</v>
      </c>
      <c r="X181" s="1">
        <v>420440.40618994</v>
      </c>
      <c r="Y181" s="1">
        <v>15.1764969825744</v>
      </c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D182" s="1" t="s">
        <v>37</v>
      </c>
      <c r="E182" s="1">
        <v>70.0</v>
      </c>
      <c r="F182" s="1">
        <v>20.0</v>
      </c>
      <c r="H182" s="1">
        <v>446116.198119759</v>
      </c>
      <c r="I182" s="1">
        <v>7.00142073631286</v>
      </c>
      <c r="J182" s="1">
        <v>495373.0</v>
      </c>
      <c r="K182" s="1">
        <v>475439.0</v>
      </c>
      <c r="L182" s="1">
        <v>475439.0</v>
      </c>
      <c r="M182" s="1">
        <v>16.5458238124847</v>
      </c>
      <c r="N182" s="1">
        <v>929.0</v>
      </c>
      <c r="O182" s="5">
        <f t="shared" si="16"/>
        <v>0</v>
      </c>
      <c r="Q182" s="1">
        <v>446330.754818478</v>
      </c>
      <c r="S182" s="1">
        <v>34.6493661403656</v>
      </c>
      <c r="U182" s="1">
        <v>88859.3581243201</v>
      </c>
      <c r="V182" s="1">
        <v>3.65725564956665</v>
      </c>
      <c r="X182" s="1">
        <v>437407.554450749</v>
      </c>
      <c r="Y182" s="1">
        <v>12.6381294727325</v>
      </c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D183" s="1" t="s">
        <v>38</v>
      </c>
      <c r="E183" s="1">
        <v>70.0</v>
      </c>
      <c r="F183" s="1">
        <v>20.0</v>
      </c>
      <c r="H183" s="1">
        <v>411935.091773472</v>
      </c>
      <c r="I183" s="1">
        <v>7.02518224716186</v>
      </c>
      <c r="J183" s="1">
        <v>470185.0</v>
      </c>
      <c r="K183" s="1">
        <v>449349.0</v>
      </c>
      <c r="L183" s="1">
        <v>449349.0</v>
      </c>
      <c r="M183" s="1">
        <v>22.6591575145721</v>
      </c>
      <c r="N183" s="1">
        <v>1487.0</v>
      </c>
      <c r="O183" s="5">
        <f t="shared" si="16"/>
        <v>0</v>
      </c>
      <c r="Q183" s="1">
        <v>412171.62539299</v>
      </c>
      <c r="S183" s="1">
        <v>38.8538253307342</v>
      </c>
      <c r="U183" s="1">
        <v>85907.0064725096</v>
      </c>
      <c r="V183" s="1">
        <v>3.58086729049682</v>
      </c>
      <c r="X183" s="1">
        <v>404933.158166586</v>
      </c>
      <c r="Y183" s="1">
        <v>13.1386318206787</v>
      </c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D184" s="1" t="s">
        <v>39</v>
      </c>
      <c r="E184" s="1">
        <v>70.0</v>
      </c>
      <c r="F184" s="1">
        <v>20.0</v>
      </c>
      <c r="H184" s="1">
        <v>409576.48639811</v>
      </c>
      <c r="I184" s="1">
        <v>7.02206540107727</v>
      </c>
      <c r="J184" s="1">
        <v>462884.999999999</v>
      </c>
      <c r="K184" s="1">
        <v>453913.999999999</v>
      </c>
      <c r="L184" s="1">
        <v>453913.999999999</v>
      </c>
      <c r="M184" s="1">
        <v>36.0194959640502</v>
      </c>
      <c r="N184" s="1">
        <v>3013.0</v>
      </c>
      <c r="O184" s="5">
        <f t="shared" si="16"/>
        <v>0</v>
      </c>
      <c r="Q184" s="1">
        <v>409827.800435791</v>
      </c>
      <c r="S184" s="1">
        <v>53.2043585777282</v>
      </c>
      <c r="U184" s="1">
        <v>84321.9489964374</v>
      </c>
      <c r="V184" s="1">
        <v>3.74389433860778</v>
      </c>
      <c r="X184" s="1">
        <v>401575.730553495</v>
      </c>
      <c r="Y184" s="1">
        <v>10.9101393222808</v>
      </c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D185" s="1" t="s">
        <v>40</v>
      </c>
      <c r="E185" s="1">
        <v>70.0</v>
      </c>
      <c r="F185" s="1">
        <v>20.0</v>
      </c>
      <c r="H185" s="1">
        <v>427981.444229671</v>
      </c>
      <c r="I185" s="1">
        <v>7.03151202201843</v>
      </c>
      <c r="J185" s="1">
        <v>463054.0</v>
      </c>
      <c r="K185" s="1">
        <v>453034.0</v>
      </c>
      <c r="L185" s="1">
        <v>453034.0</v>
      </c>
      <c r="M185" s="1">
        <v>19.6293766498565</v>
      </c>
      <c r="N185" s="1">
        <v>1243.0</v>
      </c>
      <c r="O185" s="5">
        <f t="shared" si="16"/>
        <v>0</v>
      </c>
      <c r="Q185" s="1">
        <v>428212.921738581</v>
      </c>
      <c r="S185" s="1">
        <v>27.8763823509216</v>
      </c>
      <c r="U185" s="1">
        <v>89053.9558744902</v>
      </c>
      <c r="V185" s="1">
        <v>4.86770677566528</v>
      </c>
      <c r="X185" s="1">
        <v>421659.284941272</v>
      </c>
      <c r="Y185" s="1">
        <v>15.8401811122894</v>
      </c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D186" s="1" t="s">
        <v>41</v>
      </c>
      <c r="E186" s="1">
        <v>70.0</v>
      </c>
      <c r="F186" s="1">
        <v>20.0</v>
      </c>
      <c r="H186" s="1">
        <v>433067.015473913</v>
      </c>
      <c r="I186" s="1">
        <v>7.03699827194213</v>
      </c>
      <c r="J186" s="1">
        <v>499531.999999999</v>
      </c>
      <c r="K186" s="1">
        <v>466701.0</v>
      </c>
      <c r="L186" s="1">
        <v>466701.0</v>
      </c>
      <c r="M186" s="1">
        <v>14.6251828670501</v>
      </c>
      <c r="N186" s="1">
        <v>727.0</v>
      </c>
      <c r="O186" s="5">
        <f t="shared" si="16"/>
        <v>0</v>
      </c>
      <c r="Q186" s="1">
        <v>433315.310606847</v>
      </c>
      <c r="S186" s="1">
        <v>33.6615073680877</v>
      </c>
      <c r="U186" s="1">
        <v>87500.9560970746</v>
      </c>
      <c r="V186" s="1">
        <v>11.0078296661376</v>
      </c>
      <c r="X186" s="1">
        <v>425229.100893137</v>
      </c>
      <c r="Y186" s="1">
        <v>10.498342514038</v>
      </c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D187" s="1" t="s">
        <v>42</v>
      </c>
      <c r="E187" s="1">
        <v>70.0</v>
      </c>
      <c r="F187" s="1">
        <v>20.0</v>
      </c>
      <c r="H187" s="1">
        <v>423015.226200019</v>
      </c>
      <c r="I187" s="1">
        <v>7.03016877174377</v>
      </c>
      <c r="J187" s="1">
        <v>514287.0</v>
      </c>
      <c r="K187" s="1">
        <v>464296.0</v>
      </c>
      <c r="L187" s="1">
        <v>464296.0</v>
      </c>
      <c r="M187" s="1">
        <v>38.8126475811004</v>
      </c>
      <c r="N187" s="1">
        <v>3027.0</v>
      </c>
      <c r="O187" s="5">
        <f t="shared" si="16"/>
        <v>0</v>
      </c>
      <c r="Q187" s="1">
        <v>423276.570002511</v>
      </c>
      <c r="S187" s="1">
        <v>38.9786326885223</v>
      </c>
      <c r="U187" s="1">
        <v>86171.0060530317</v>
      </c>
      <c r="V187" s="1">
        <v>3.70329093933105</v>
      </c>
      <c r="X187" s="1">
        <v>416136.649996966</v>
      </c>
      <c r="Y187" s="1">
        <v>14.8313574790954</v>
      </c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D188" s="1" t="s">
        <v>43</v>
      </c>
      <c r="E188" s="1">
        <v>70.0</v>
      </c>
      <c r="F188" s="1">
        <v>20.0</v>
      </c>
      <c r="H188" s="1">
        <v>429144.065730817</v>
      </c>
      <c r="I188" s="1">
        <v>7.03521394729614</v>
      </c>
      <c r="J188" s="1">
        <v>483887.999999999</v>
      </c>
      <c r="K188" s="1">
        <v>478380.0</v>
      </c>
      <c r="L188" s="1">
        <v>478380.0</v>
      </c>
      <c r="M188" s="1">
        <v>18.1772191524505</v>
      </c>
      <c r="N188" s="1">
        <v>1211.0</v>
      </c>
      <c r="O188" s="5">
        <f t="shared" si="16"/>
        <v>0</v>
      </c>
      <c r="Q188" s="1">
        <v>429379.529805289</v>
      </c>
      <c r="S188" s="1">
        <v>75.9534935951232</v>
      </c>
      <c r="U188" s="1">
        <v>87513.9937996502</v>
      </c>
      <c r="V188" s="1">
        <v>3.77682399749755</v>
      </c>
      <c r="X188" s="1">
        <v>426507.333685937</v>
      </c>
      <c r="Y188" s="1">
        <v>18.6244921684265</v>
      </c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D189" s="1" t="s">
        <v>44</v>
      </c>
      <c r="E189" s="1">
        <v>70.0</v>
      </c>
      <c r="F189" s="1">
        <v>20.0</v>
      </c>
      <c r="H189" s="1">
        <v>418864.091605016</v>
      </c>
      <c r="I189" s="1">
        <v>7.01719450950622</v>
      </c>
      <c r="J189" s="1">
        <v>494352.0</v>
      </c>
      <c r="K189" s="1">
        <v>459566.0</v>
      </c>
      <c r="L189" s="1">
        <v>459566.0</v>
      </c>
      <c r="M189" s="1">
        <v>27.2040128707885</v>
      </c>
      <c r="N189" s="1">
        <v>1939.0</v>
      </c>
      <c r="O189" s="5">
        <f t="shared" si="16"/>
        <v>0</v>
      </c>
      <c r="Q189" s="1">
        <v>419083.680239681</v>
      </c>
      <c r="S189" s="1">
        <v>29.5287232398986</v>
      </c>
      <c r="U189" s="1">
        <v>88041.0159788408</v>
      </c>
      <c r="V189" s="1">
        <v>4.03943848609924</v>
      </c>
      <c r="X189" s="1">
        <v>413310.4588649</v>
      </c>
      <c r="Y189" s="1">
        <v>16.7786116600036</v>
      </c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D190" s="1" t="s">
        <v>45</v>
      </c>
      <c r="E190" s="1">
        <v>70.0</v>
      </c>
      <c r="F190" s="1">
        <v>20.0</v>
      </c>
      <c r="H190" s="1">
        <v>429551.950345281</v>
      </c>
      <c r="I190" s="1">
        <v>7.00324082374572</v>
      </c>
      <c r="J190" s="1">
        <v>471984.0</v>
      </c>
      <c r="K190" s="1">
        <v>471141.0</v>
      </c>
      <c r="L190" s="1">
        <v>471141.0</v>
      </c>
      <c r="M190" s="1">
        <v>23.1897544860839</v>
      </c>
      <c r="N190" s="1">
        <v>1735.0</v>
      </c>
      <c r="O190" s="5">
        <f t="shared" si="16"/>
        <v>0</v>
      </c>
      <c r="Q190" s="1">
        <v>429760.800016738</v>
      </c>
      <c r="S190" s="1">
        <v>56.0522027015686</v>
      </c>
      <c r="U190" s="1">
        <v>89933.8312512096</v>
      </c>
      <c r="V190" s="1">
        <v>4.06270813941955</v>
      </c>
      <c r="X190" s="1">
        <v>425967.365063265</v>
      </c>
      <c r="Y190" s="1">
        <v>16.2992355823516</v>
      </c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D191" s="1"/>
      <c r="E191" s="6">
        <f t="shared" ref="E191:F191" si="17">AVERAGE(E161:E190)</f>
        <v>70</v>
      </c>
      <c r="F191" s="6">
        <f t="shared" si="17"/>
        <v>20</v>
      </c>
      <c r="H191" s="6">
        <f t="shared" ref="H191:O191" si="18">AVERAGE(H161:H190)</f>
        <v>425844.8986</v>
      </c>
      <c r="I191" s="6">
        <f t="shared" si="18"/>
        <v>7.035052331</v>
      </c>
      <c r="J191" s="6">
        <f t="shared" si="18"/>
        <v>505640.1</v>
      </c>
      <c r="K191" s="6">
        <f t="shared" si="18"/>
        <v>471852.2</v>
      </c>
      <c r="L191" s="6">
        <f t="shared" si="18"/>
        <v>471852.2</v>
      </c>
      <c r="M191" s="6">
        <f t="shared" si="18"/>
        <v>90.10719812</v>
      </c>
      <c r="N191" s="6">
        <f t="shared" si="18"/>
        <v>7181.866667</v>
      </c>
      <c r="O191" s="6">
        <f t="shared" si="18"/>
        <v>0</v>
      </c>
      <c r="Q191" s="6">
        <f>AVERAGE(Q161:Q190)</f>
        <v>426073.4639</v>
      </c>
      <c r="S191" s="6">
        <f>AVERAGE(S161:S190)</f>
        <v>39.56251636</v>
      </c>
    </row>
    <row r="192">
      <c r="D192" s="1" t="s">
        <v>16</v>
      </c>
      <c r="E192" s="1">
        <v>70.0</v>
      </c>
      <c r="F192" s="1">
        <v>25.0</v>
      </c>
      <c r="H192" s="1">
        <v>602113.773056192</v>
      </c>
      <c r="I192" s="1">
        <v>7.17231488227844</v>
      </c>
      <c r="J192" s="1">
        <v>627774.0</v>
      </c>
      <c r="K192" s="1">
        <v>627774.0</v>
      </c>
      <c r="L192" s="1">
        <v>627774.0</v>
      </c>
      <c r="M192" s="1">
        <v>16.1319587230682</v>
      </c>
      <c r="N192" s="1">
        <v>1027.0</v>
      </c>
      <c r="O192" s="5">
        <f t="shared" ref="O192:O221" si="19">100*(K192-L192)/K192</f>
        <v>0</v>
      </c>
      <c r="Q192" s="1">
        <v>602285.788792744</v>
      </c>
      <c r="S192" s="1">
        <v>34.593094587326</v>
      </c>
      <c r="U192" s="1">
        <v>93405.0852095632</v>
      </c>
      <c r="V192" s="1">
        <v>3.77562260627746</v>
      </c>
      <c r="X192" s="1">
        <v>597210.009603757</v>
      </c>
      <c r="Y192" s="1">
        <v>15.0450575351715</v>
      </c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D193" s="1" t="s">
        <v>17</v>
      </c>
      <c r="E193" s="1">
        <v>70.0</v>
      </c>
      <c r="F193" s="1">
        <v>25.0</v>
      </c>
      <c r="H193" s="1">
        <v>721297.988417256</v>
      </c>
      <c r="I193" s="1">
        <v>7.1427047252655</v>
      </c>
      <c r="J193" s="1">
        <v>895900.0</v>
      </c>
      <c r="K193" s="1">
        <v>770834.999999999</v>
      </c>
      <c r="L193" s="1">
        <v>770834.999999999</v>
      </c>
      <c r="M193" s="1">
        <v>16.0745103359222</v>
      </c>
      <c r="N193" s="1">
        <v>945.0</v>
      </c>
      <c r="O193" s="5">
        <f t="shared" si="19"/>
        <v>0</v>
      </c>
      <c r="Q193" s="1">
        <v>721550.150859418</v>
      </c>
      <c r="S193" s="1">
        <v>44.8636131286621</v>
      </c>
      <c r="U193" s="1">
        <v>96714.0008103939</v>
      </c>
      <c r="V193" s="1">
        <v>3.65508460998535</v>
      </c>
      <c r="X193" s="1">
        <v>709582.674235954</v>
      </c>
      <c r="Y193" s="1">
        <v>9.16063141822815</v>
      </c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D194" s="1" t="s">
        <v>18</v>
      </c>
      <c r="E194" s="1">
        <v>70.0</v>
      </c>
      <c r="F194" s="1">
        <v>25.0</v>
      </c>
      <c r="H194" s="1">
        <v>617032.655930912</v>
      </c>
      <c r="I194" s="1">
        <v>7.16693639755249</v>
      </c>
      <c r="J194" s="1">
        <v>636055.999999999</v>
      </c>
      <c r="K194" s="1">
        <v>636055.999999999</v>
      </c>
      <c r="L194" s="1">
        <v>636055.999999999</v>
      </c>
      <c r="M194" s="1">
        <v>9.02766418457031</v>
      </c>
      <c r="N194" s="1">
        <v>217.0</v>
      </c>
      <c r="O194" s="5">
        <f t="shared" si="19"/>
        <v>0</v>
      </c>
      <c r="Q194" s="1">
        <v>617309.106429985</v>
      </c>
      <c r="S194" s="1">
        <v>40.8508164882659</v>
      </c>
      <c r="U194" s="1">
        <v>95325.1195043845</v>
      </c>
      <c r="V194" s="1">
        <v>3.93147850036621</v>
      </c>
      <c r="X194" s="1">
        <v>611882.038208601</v>
      </c>
      <c r="Y194" s="1">
        <v>9.58752465248107</v>
      </c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D195" s="1" t="s">
        <v>19</v>
      </c>
      <c r="E195" s="1">
        <v>70.0</v>
      </c>
      <c r="F195" s="1">
        <v>25.0</v>
      </c>
      <c r="H195" s="1">
        <v>700192.684460567</v>
      </c>
      <c r="I195" s="1">
        <v>7.16831493377685</v>
      </c>
      <c r="J195" s="1">
        <v>750214.999999999</v>
      </c>
      <c r="K195" s="1">
        <v>737267.999999999</v>
      </c>
      <c r="L195" s="1">
        <v>737267.999999999</v>
      </c>
      <c r="M195" s="1">
        <v>12.8015758991241</v>
      </c>
      <c r="N195" s="1">
        <v>639.0</v>
      </c>
      <c r="O195" s="5">
        <f t="shared" si="19"/>
        <v>0</v>
      </c>
      <c r="Q195" s="1">
        <v>700445.314827944</v>
      </c>
      <c r="S195" s="1">
        <v>40.4344389438629</v>
      </c>
      <c r="U195" s="1">
        <v>95200.3500515454</v>
      </c>
      <c r="V195" s="1">
        <v>4.87650847434997</v>
      </c>
      <c r="X195" s="1">
        <v>687020.915367937</v>
      </c>
      <c r="Y195" s="1">
        <v>8.22036123275756</v>
      </c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D196" s="1" t="s">
        <v>20</v>
      </c>
      <c r="E196" s="1">
        <v>70.0</v>
      </c>
      <c r="F196" s="1">
        <v>25.0</v>
      </c>
      <c r="H196" s="1">
        <v>712279.826410757</v>
      </c>
      <c r="I196" s="1">
        <v>7.13265013694763</v>
      </c>
      <c r="J196" s="1">
        <v>772557.0</v>
      </c>
      <c r="K196" s="1">
        <v>754594.0</v>
      </c>
      <c r="L196" s="1">
        <v>754594.0</v>
      </c>
      <c r="M196" s="1">
        <v>56.899188041687</v>
      </c>
      <c r="N196" s="1">
        <v>4567.0</v>
      </c>
      <c r="O196" s="5">
        <f t="shared" si="19"/>
        <v>0</v>
      </c>
      <c r="Q196" s="1">
        <v>712577.95740811</v>
      </c>
      <c r="S196" s="1">
        <v>32.6268730163574</v>
      </c>
      <c r="U196" s="1">
        <v>96077.9963063525</v>
      </c>
      <c r="V196" s="1">
        <v>3.77003955841064</v>
      </c>
      <c r="X196" s="1">
        <v>695041.473856006</v>
      </c>
      <c r="Y196" s="1">
        <v>10.0301783084869</v>
      </c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D197" s="1" t="s">
        <v>21</v>
      </c>
      <c r="E197" s="1">
        <v>70.0</v>
      </c>
      <c r="F197" s="1">
        <v>25.0</v>
      </c>
      <c r="H197" s="1">
        <v>617635.772079766</v>
      </c>
      <c r="I197" s="1">
        <v>7.13357377052307</v>
      </c>
      <c r="J197" s="1">
        <v>639261.999999999</v>
      </c>
      <c r="K197" s="1">
        <v>639261.999999999</v>
      </c>
      <c r="L197" s="1">
        <v>639261.999999999</v>
      </c>
      <c r="M197" s="1">
        <v>9.27005219459533</v>
      </c>
      <c r="N197" s="1">
        <v>263.0</v>
      </c>
      <c r="O197" s="5">
        <f t="shared" si="19"/>
        <v>0</v>
      </c>
      <c r="Q197" s="1">
        <v>617802.437036509</v>
      </c>
      <c r="S197" s="1">
        <v>31.2321901321411</v>
      </c>
      <c r="U197" s="1">
        <v>95246.000389082</v>
      </c>
      <c r="V197" s="1">
        <v>3.71107292175292</v>
      </c>
      <c r="X197" s="1">
        <v>612513.979919477</v>
      </c>
      <c r="Y197" s="1">
        <v>16.1278676986694</v>
      </c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D198" s="1" t="s">
        <v>22</v>
      </c>
      <c r="E198" s="1">
        <v>70.0</v>
      </c>
      <c r="F198" s="1">
        <v>25.0</v>
      </c>
      <c r="H198" s="1">
        <v>693132.502697522</v>
      </c>
      <c r="I198" s="1">
        <v>7.38270568847656</v>
      </c>
      <c r="J198" s="1">
        <v>732534.0</v>
      </c>
      <c r="K198" s="1">
        <v>732104.0</v>
      </c>
      <c r="L198" s="1">
        <v>732104.0</v>
      </c>
      <c r="M198" s="1">
        <v>15.6510815620422</v>
      </c>
      <c r="N198" s="1">
        <v>905.0</v>
      </c>
      <c r="O198" s="5">
        <f t="shared" si="19"/>
        <v>0</v>
      </c>
      <c r="Q198" s="1">
        <v>693380.632061839</v>
      </c>
      <c r="S198" s="1">
        <v>39.0204548835754</v>
      </c>
      <c r="U198" s="1">
        <v>95745.9937336871</v>
      </c>
      <c r="V198" s="1">
        <v>4.40353035926818</v>
      </c>
      <c r="X198" s="1">
        <v>681575.636832011</v>
      </c>
      <c r="Y198" s="1">
        <v>9.12636184692382</v>
      </c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D199" s="1" t="s">
        <v>23</v>
      </c>
      <c r="E199" s="1">
        <v>70.0</v>
      </c>
      <c r="F199" s="1">
        <v>25.0</v>
      </c>
      <c r="H199" s="1">
        <v>700760.968319374</v>
      </c>
      <c r="I199" s="1">
        <v>7.1169250011444</v>
      </c>
      <c r="J199" s="1">
        <v>751421.0</v>
      </c>
      <c r="K199" s="1">
        <v>749976.0</v>
      </c>
      <c r="L199" s="1">
        <v>749976.0</v>
      </c>
      <c r="M199" s="1">
        <v>60.5456182956695</v>
      </c>
      <c r="N199" s="1">
        <v>5685.0</v>
      </c>
      <c r="O199" s="5">
        <f t="shared" si="19"/>
        <v>0</v>
      </c>
      <c r="Q199" s="1">
        <v>700989.486758</v>
      </c>
      <c r="S199" s="1">
        <v>28.5384013652801</v>
      </c>
      <c r="U199" s="1">
        <v>94519.9746991371</v>
      </c>
      <c r="V199" s="1">
        <v>3.68095850944519</v>
      </c>
      <c r="X199" s="1">
        <v>685790.900550748</v>
      </c>
      <c r="Y199" s="1">
        <v>9.34056448936462</v>
      </c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D200" s="1" t="s">
        <v>24</v>
      </c>
      <c r="E200" s="1">
        <v>70.0</v>
      </c>
      <c r="F200" s="1">
        <v>25.0</v>
      </c>
      <c r="H200" s="1">
        <v>707794.094672197</v>
      </c>
      <c r="I200" s="1">
        <v>7.16794633865356</v>
      </c>
      <c r="J200" s="1">
        <v>740083.0</v>
      </c>
      <c r="K200" s="1">
        <v>728536.0</v>
      </c>
      <c r="L200" s="1">
        <v>728536.0</v>
      </c>
      <c r="M200" s="1">
        <v>13.4787991046905</v>
      </c>
      <c r="N200" s="1">
        <v>673.0</v>
      </c>
      <c r="O200" s="5">
        <f t="shared" si="19"/>
        <v>0</v>
      </c>
      <c r="Q200" s="1">
        <v>708081.971161707</v>
      </c>
      <c r="S200" s="1">
        <v>35.291537284851</v>
      </c>
      <c r="U200" s="1">
        <v>94920.9582391349</v>
      </c>
      <c r="V200" s="1">
        <v>3.89969396591186</v>
      </c>
      <c r="X200" s="1">
        <v>692605.606648883</v>
      </c>
      <c r="Y200" s="1">
        <v>11.6155323982238</v>
      </c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D201" s="1" t="s">
        <v>25</v>
      </c>
      <c r="E201" s="1">
        <v>70.0</v>
      </c>
      <c r="F201" s="1">
        <v>25.0</v>
      </c>
      <c r="H201" s="1">
        <v>745979.117956572</v>
      </c>
      <c r="I201" s="1">
        <v>7.14299750328064</v>
      </c>
      <c r="J201" s="1">
        <v>824451.0</v>
      </c>
      <c r="K201" s="1">
        <v>791783.999999999</v>
      </c>
      <c r="L201" s="1">
        <v>791783.999999999</v>
      </c>
      <c r="M201" s="1">
        <v>28.0807094573974</v>
      </c>
      <c r="N201" s="1">
        <v>2093.0</v>
      </c>
      <c r="O201" s="5">
        <f t="shared" si="19"/>
        <v>0</v>
      </c>
      <c r="Q201" s="1">
        <v>746311.594213451</v>
      </c>
      <c r="S201" s="1">
        <v>52.805389881134</v>
      </c>
      <c r="U201" s="1">
        <v>96845.9095782484</v>
      </c>
      <c r="V201" s="1">
        <v>3.67177963256835</v>
      </c>
      <c r="X201" s="1">
        <v>733387.667270387</v>
      </c>
      <c r="Y201" s="1">
        <v>11.2360095977783</v>
      </c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D202" s="1" t="s">
        <v>26</v>
      </c>
      <c r="E202" s="1">
        <v>70.0</v>
      </c>
      <c r="F202" s="1">
        <v>25.0</v>
      </c>
      <c r="H202" s="1">
        <v>715403.624018538</v>
      </c>
      <c r="I202" s="1">
        <v>7.1731834411621</v>
      </c>
      <c r="J202" s="1">
        <v>755610.0</v>
      </c>
      <c r="K202" s="1">
        <v>752723.0</v>
      </c>
      <c r="L202" s="1">
        <v>752723.0</v>
      </c>
      <c r="M202" s="1">
        <v>14.1868932247161</v>
      </c>
      <c r="N202" s="1">
        <v>755.0</v>
      </c>
      <c r="O202" s="5">
        <f t="shared" si="19"/>
        <v>0</v>
      </c>
      <c r="Q202" s="1">
        <v>715703.238044193</v>
      </c>
      <c r="S202" s="1">
        <v>41.3529260158538</v>
      </c>
      <c r="U202" s="1">
        <v>98163.288685222</v>
      </c>
      <c r="V202" s="1">
        <v>8.08836817741394</v>
      </c>
      <c r="X202" s="1">
        <v>703198.271723657</v>
      </c>
      <c r="Y202" s="1">
        <v>8.22808241844177</v>
      </c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D203" s="1" t="s">
        <v>27</v>
      </c>
      <c r="E203" s="1">
        <v>70.0</v>
      </c>
      <c r="F203" s="1">
        <v>25.0</v>
      </c>
      <c r="H203" s="1">
        <v>711026.606875669</v>
      </c>
      <c r="I203" s="1">
        <v>7.15886807441711</v>
      </c>
      <c r="J203" s="1">
        <v>742587.0</v>
      </c>
      <c r="K203" s="1">
        <v>737246.999999999</v>
      </c>
      <c r="L203" s="1">
        <v>737246.999999999</v>
      </c>
      <c r="M203" s="1">
        <v>9.41302371025085</v>
      </c>
      <c r="N203" s="1">
        <v>253.0</v>
      </c>
      <c r="O203" s="5">
        <f t="shared" si="19"/>
        <v>0</v>
      </c>
      <c r="Q203" s="1">
        <v>711308.356895359</v>
      </c>
      <c r="S203" s="1">
        <v>31.4329671859741</v>
      </c>
      <c r="U203" s="1">
        <v>93157.7571873216</v>
      </c>
      <c r="V203" s="1">
        <v>3.75077390670776</v>
      </c>
      <c r="X203" s="1">
        <v>699089.038912069</v>
      </c>
      <c r="Y203" s="1">
        <v>13.5783512592315</v>
      </c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D204" s="1" t="s">
        <v>28</v>
      </c>
      <c r="E204" s="1">
        <v>70.0</v>
      </c>
      <c r="F204" s="1">
        <v>25.0</v>
      </c>
      <c r="H204" s="1">
        <v>684083.276130686</v>
      </c>
      <c r="I204" s="1">
        <v>7.19758367538452</v>
      </c>
      <c r="J204" s="1">
        <v>739200.0</v>
      </c>
      <c r="K204" s="1">
        <v>713024.0</v>
      </c>
      <c r="L204" s="1">
        <v>713024.0</v>
      </c>
      <c r="M204" s="1">
        <v>11.8761529922485</v>
      </c>
      <c r="N204" s="1">
        <v>519.0</v>
      </c>
      <c r="O204" s="5">
        <f t="shared" si="19"/>
        <v>0</v>
      </c>
      <c r="Q204" s="1">
        <v>684362.998478817</v>
      </c>
      <c r="S204" s="1">
        <v>44.4948580265045</v>
      </c>
      <c r="U204" s="1">
        <v>94528.273303244</v>
      </c>
      <c r="V204" s="1">
        <v>3.96803855895996</v>
      </c>
      <c r="X204" s="1">
        <v>672201.088626652</v>
      </c>
      <c r="Y204" s="1">
        <v>13.0537002086639</v>
      </c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D205" s="1" t="s">
        <v>29</v>
      </c>
      <c r="E205" s="1">
        <v>70.0</v>
      </c>
      <c r="F205" s="1">
        <v>25.0</v>
      </c>
      <c r="H205" s="1">
        <v>668331.207086171</v>
      </c>
      <c r="I205" s="1">
        <v>7.12330079078674</v>
      </c>
      <c r="J205" s="1">
        <v>707628.999999999</v>
      </c>
      <c r="K205" s="1">
        <v>706510.999999999</v>
      </c>
      <c r="L205" s="1">
        <v>706510.999999999</v>
      </c>
      <c r="M205" s="1">
        <v>17.0569005012512</v>
      </c>
      <c r="N205" s="1">
        <v>1083.0</v>
      </c>
      <c r="O205" s="5">
        <f t="shared" si="19"/>
        <v>0</v>
      </c>
      <c r="Q205" s="1">
        <v>668590.34672769</v>
      </c>
      <c r="S205" s="1">
        <v>37.7908861637115</v>
      </c>
      <c r="U205" s="1">
        <v>94634.0932549677</v>
      </c>
      <c r="V205" s="1">
        <v>3.76429176330566</v>
      </c>
      <c r="X205" s="1">
        <v>659580.582330836</v>
      </c>
      <c r="Y205" s="1">
        <v>15.4989266395568</v>
      </c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D206" s="1" t="s">
        <v>30</v>
      </c>
      <c r="E206" s="1">
        <v>70.0</v>
      </c>
      <c r="F206" s="1">
        <v>25.0</v>
      </c>
      <c r="H206" s="1">
        <v>738582.010491854</v>
      </c>
      <c r="I206" s="1">
        <v>7.13685202598571</v>
      </c>
      <c r="J206" s="1">
        <v>831671.0</v>
      </c>
      <c r="K206" s="1">
        <v>782446.0</v>
      </c>
      <c r="L206" s="1">
        <v>782446.0</v>
      </c>
      <c r="M206" s="1">
        <v>18.500022649765</v>
      </c>
      <c r="N206" s="1">
        <v>1139.0</v>
      </c>
      <c r="O206" s="5">
        <f t="shared" si="19"/>
        <v>0</v>
      </c>
      <c r="Q206" s="1">
        <v>738870.150147028</v>
      </c>
      <c r="S206" s="1">
        <v>48.0844581127166</v>
      </c>
      <c r="U206" s="1">
        <v>96004.2373245403</v>
      </c>
      <c r="V206" s="1">
        <v>3.64559459686279</v>
      </c>
      <c r="X206" s="1">
        <v>725937.153983417</v>
      </c>
      <c r="Y206" s="1">
        <v>8.50818181037902</v>
      </c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D207" s="1" t="s">
        <v>31</v>
      </c>
      <c r="E207" s="1">
        <v>70.0</v>
      </c>
      <c r="F207" s="1">
        <v>25.0</v>
      </c>
      <c r="H207" s="1">
        <v>706944.145962479</v>
      </c>
      <c r="I207" s="1">
        <v>7.18650650978088</v>
      </c>
      <c r="J207" s="1">
        <v>763429.0</v>
      </c>
      <c r="K207" s="1">
        <v>753360.999999999</v>
      </c>
      <c r="L207" s="1">
        <v>753360.999999999</v>
      </c>
      <c r="M207" s="1">
        <v>16.7465994358062</v>
      </c>
      <c r="N207" s="1">
        <v>999.0</v>
      </c>
      <c r="O207" s="5">
        <f t="shared" si="19"/>
        <v>0</v>
      </c>
      <c r="Q207" s="1">
        <v>707247.464047386</v>
      </c>
      <c r="S207" s="1">
        <v>69.4355332851409</v>
      </c>
      <c r="U207" s="1">
        <v>95546.910826864</v>
      </c>
      <c r="V207" s="1">
        <v>4.03171968460083</v>
      </c>
      <c r="X207" s="1">
        <v>697719.676524162</v>
      </c>
      <c r="Y207" s="1">
        <v>14.3216559886932</v>
      </c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D208" s="1" t="s">
        <v>32</v>
      </c>
      <c r="E208" s="1">
        <v>70.0</v>
      </c>
      <c r="F208" s="1">
        <v>25.0</v>
      </c>
      <c r="H208" s="1">
        <v>733381.032843122</v>
      </c>
      <c r="I208" s="1">
        <v>7.16804957389831</v>
      </c>
      <c r="J208" s="1">
        <v>766438.0</v>
      </c>
      <c r="K208" s="1">
        <v>753209.999999999</v>
      </c>
      <c r="L208" s="1">
        <v>753209.999999999</v>
      </c>
      <c r="M208" s="1">
        <v>9.23582506179809</v>
      </c>
      <c r="N208" s="1">
        <v>227.0</v>
      </c>
      <c r="O208" s="5">
        <f t="shared" si="19"/>
        <v>0</v>
      </c>
      <c r="Q208" s="1">
        <v>733661.414070011</v>
      </c>
      <c r="S208" s="1">
        <v>22.3649499416351</v>
      </c>
      <c r="U208" s="1">
        <v>96831.9408175153</v>
      </c>
      <c r="V208" s="1">
        <v>8.27472996711731</v>
      </c>
      <c r="X208" s="1">
        <v>717304.814487014</v>
      </c>
      <c r="Y208" s="1">
        <v>15.7087874412536</v>
      </c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D209" s="1" t="s">
        <v>33</v>
      </c>
      <c r="E209" s="1">
        <v>70.0</v>
      </c>
      <c r="F209" s="1">
        <v>25.0</v>
      </c>
      <c r="H209" s="1">
        <v>767670.333226362</v>
      </c>
      <c r="I209" s="1">
        <v>7.17169570922851</v>
      </c>
      <c r="J209" s="1">
        <v>863953.0</v>
      </c>
      <c r="K209" s="1">
        <v>820018.0</v>
      </c>
      <c r="L209" s="1">
        <v>820018.0</v>
      </c>
      <c r="M209" s="1">
        <v>26.2774426937103</v>
      </c>
      <c r="N209" s="1">
        <v>1903.0</v>
      </c>
      <c r="O209" s="5">
        <f t="shared" si="19"/>
        <v>0</v>
      </c>
      <c r="Q209" s="1">
        <v>767962.214836106</v>
      </c>
      <c r="S209" s="1">
        <v>42.5196988582611</v>
      </c>
      <c r="U209" s="1">
        <v>97359.9892656398</v>
      </c>
      <c r="V209" s="1">
        <v>3.98391580581665</v>
      </c>
      <c r="X209" s="1">
        <v>755003.0459514</v>
      </c>
      <c r="Y209" s="1">
        <v>13.1293108463287</v>
      </c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D210" s="1" t="s">
        <v>34</v>
      </c>
      <c r="E210" s="1">
        <v>70.0</v>
      </c>
      <c r="F210" s="1">
        <v>25.0</v>
      </c>
      <c r="H210" s="1">
        <v>723305.188833926</v>
      </c>
      <c r="I210" s="1">
        <v>7.14144468307495</v>
      </c>
      <c r="J210" s="1">
        <v>791287.0</v>
      </c>
      <c r="K210" s="1">
        <v>764148.999999999</v>
      </c>
      <c r="L210" s="1">
        <v>764148.999999999</v>
      </c>
      <c r="M210" s="1">
        <v>31.6234579086303</v>
      </c>
      <c r="N210" s="1">
        <v>2313.0</v>
      </c>
      <c r="O210" s="5">
        <f t="shared" si="19"/>
        <v>0</v>
      </c>
      <c r="Q210" s="1">
        <v>723604.69146761</v>
      </c>
      <c r="S210" s="1">
        <v>25.0330412387847</v>
      </c>
      <c r="U210" s="1">
        <v>94601.0165184157</v>
      </c>
      <c r="V210" s="1">
        <v>3.65832257270813</v>
      </c>
      <c r="X210" s="1">
        <v>703987.554522861</v>
      </c>
      <c r="Y210" s="1">
        <v>8.02912259101867</v>
      </c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D211" s="1" t="s">
        <v>35</v>
      </c>
      <c r="E211" s="1">
        <v>70.0</v>
      </c>
      <c r="F211" s="1">
        <v>25.0</v>
      </c>
      <c r="H211" s="1">
        <v>677278.905762116</v>
      </c>
      <c r="I211" s="1">
        <v>7.18838214874267</v>
      </c>
      <c r="J211" s="1">
        <v>698458.0</v>
      </c>
      <c r="K211" s="1">
        <v>698458.0</v>
      </c>
      <c r="L211" s="1">
        <v>698458.0</v>
      </c>
      <c r="M211" s="1">
        <v>9.92795515060424</v>
      </c>
      <c r="N211" s="1">
        <v>319.0</v>
      </c>
      <c r="O211" s="5">
        <f t="shared" si="19"/>
        <v>0</v>
      </c>
      <c r="Q211" s="1">
        <v>677525.679970873</v>
      </c>
      <c r="S211" s="1">
        <v>35.6763398647308</v>
      </c>
      <c r="U211" s="1">
        <v>93444.0143151305</v>
      </c>
      <c r="V211" s="1">
        <v>3.91369986534118</v>
      </c>
      <c r="X211" s="1">
        <v>662854.228864906</v>
      </c>
      <c r="Y211" s="1">
        <v>8.05114078521728</v>
      </c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D212" s="1" t="s">
        <v>36</v>
      </c>
      <c r="E212" s="1">
        <v>70.0</v>
      </c>
      <c r="F212" s="1">
        <v>25.0</v>
      </c>
      <c r="H212" s="1">
        <v>695786.647102813</v>
      </c>
      <c r="I212" s="1">
        <v>7.14394521713256</v>
      </c>
      <c r="J212" s="1">
        <v>713999.0</v>
      </c>
      <c r="K212" s="1">
        <v>711895.0</v>
      </c>
      <c r="L212" s="1">
        <v>711895.0</v>
      </c>
      <c r="M212" s="1">
        <v>11.1598372459411</v>
      </c>
      <c r="N212" s="1">
        <v>431.0</v>
      </c>
      <c r="O212" s="5">
        <f t="shared" si="19"/>
        <v>0</v>
      </c>
      <c r="Q212" s="1">
        <v>696032.182722487</v>
      </c>
      <c r="S212" s="1">
        <v>25.709935426712</v>
      </c>
      <c r="U212" s="1">
        <v>95741.9254725193</v>
      </c>
      <c r="V212" s="1">
        <v>10.0524876117706</v>
      </c>
      <c r="X212" s="1">
        <v>682515.45638458</v>
      </c>
      <c r="Y212" s="1">
        <v>11.2913861274719</v>
      </c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D213" s="1" t="s">
        <v>37</v>
      </c>
      <c r="E213" s="1">
        <v>70.0</v>
      </c>
      <c r="F213" s="1">
        <v>25.0</v>
      </c>
      <c r="H213" s="1">
        <v>718378.953110093</v>
      </c>
      <c r="I213" s="1">
        <v>7.14386534690856</v>
      </c>
      <c r="J213" s="1">
        <v>742139.0</v>
      </c>
      <c r="K213" s="1">
        <v>740455.999999999</v>
      </c>
      <c r="L213" s="1">
        <v>740455.999999999</v>
      </c>
      <c r="M213" s="1">
        <v>11.5821061134338</v>
      </c>
      <c r="N213" s="1">
        <v>455.0</v>
      </c>
      <c r="O213" s="5">
        <f t="shared" si="19"/>
        <v>0</v>
      </c>
      <c r="Q213" s="1">
        <v>718653.522663857</v>
      </c>
      <c r="S213" s="1">
        <v>37.5775141716003</v>
      </c>
      <c r="U213" s="1">
        <v>98677.6390586297</v>
      </c>
      <c r="V213" s="1">
        <v>9.68452954292297</v>
      </c>
      <c r="X213" s="1">
        <v>704757.028012108</v>
      </c>
      <c r="Y213" s="1">
        <v>8.26904606819152</v>
      </c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D214" s="1" t="s">
        <v>38</v>
      </c>
      <c r="E214" s="1">
        <v>70.0</v>
      </c>
      <c r="F214" s="1">
        <v>25.0</v>
      </c>
      <c r="H214" s="1">
        <v>666372.86392128</v>
      </c>
      <c r="I214" s="1">
        <v>7.40775990486145</v>
      </c>
      <c r="J214" s="1">
        <v>703762.0</v>
      </c>
      <c r="K214" s="1">
        <v>695927.0</v>
      </c>
      <c r="L214" s="1">
        <v>695927.0</v>
      </c>
      <c r="M214" s="1">
        <v>16.1791405677795</v>
      </c>
      <c r="N214" s="1">
        <v>893.0</v>
      </c>
      <c r="O214" s="5">
        <f t="shared" si="19"/>
        <v>0</v>
      </c>
      <c r="Q214" s="1">
        <v>666649.444628999</v>
      </c>
      <c r="S214" s="1">
        <v>31.4032118320465</v>
      </c>
      <c r="U214" s="1">
        <v>95502.9990594592</v>
      </c>
      <c r="V214" s="1">
        <v>4.05944490432739</v>
      </c>
      <c r="X214" s="1">
        <v>655473.055277048</v>
      </c>
      <c r="Y214" s="1">
        <v>14.882618188858</v>
      </c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D215" s="1" t="s">
        <v>39</v>
      </c>
      <c r="E215" s="1">
        <v>70.0</v>
      </c>
      <c r="F215" s="1">
        <v>25.0</v>
      </c>
      <c r="H215" s="1">
        <v>654276.656924616</v>
      </c>
      <c r="I215" s="1">
        <v>7.21178436279296</v>
      </c>
      <c r="J215" s="1">
        <v>686676.0</v>
      </c>
      <c r="K215" s="1">
        <v>686676.0</v>
      </c>
      <c r="L215" s="1">
        <v>686676.0</v>
      </c>
      <c r="M215" s="1">
        <v>11.4000177383422</v>
      </c>
      <c r="N215" s="1">
        <v>485.0</v>
      </c>
      <c r="O215" s="5">
        <f t="shared" si="19"/>
        <v>0</v>
      </c>
      <c r="Q215" s="1">
        <v>654487.264115565</v>
      </c>
      <c r="S215" s="1">
        <v>47.6003456115722</v>
      </c>
      <c r="U215" s="1">
        <v>94713.9892077755</v>
      </c>
      <c r="V215" s="1">
        <v>4.19474506378173</v>
      </c>
      <c r="X215" s="1">
        <v>648515.178389893</v>
      </c>
      <c r="Y215" s="1">
        <v>16.5556018352508</v>
      </c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D216" s="1" t="s">
        <v>40</v>
      </c>
      <c r="E216" s="1">
        <v>70.0</v>
      </c>
      <c r="F216" s="1">
        <v>25.0</v>
      </c>
      <c r="H216" s="1">
        <v>688866.485400383</v>
      </c>
      <c r="I216" s="1">
        <v>7.19761228561401</v>
      </c>
      <c r="J216" s="1">
        <v>707903.0</v>
      </c>
      <c r="K216" s="1">
        <v>706463.0</v>
      </c>
      <c r="L216" s="1">
        <v>706463.0</v>
      </c>
      <c r="M216" s="1">
        <v>11.7252695560455</v>
      </c>
      <c r="N216" s="1">
        <v>481.0</v>
      </c>
      <c r="O216" s="5">
        <f t="shared" si="19"/>
        <v>0</v>
      </c>
      <c r="Q216" s="1">
        <v>689108.838347432</v>
      </c>
      <c r="S216" s="1">
        <v>25.2839751243591</v>
      </c>
      <c r="U216" s="1">
        <v>98000.6565254094</v>
      </c>
      <c r="V216" s="1">
        <v>4.12570524215698</v>
      </c>
      <c r="X216" s="1">
        <v>675313.190237394</v>
      </c>
      <c r="Y216" s="1">
        <v>11.2130541801452</v>
      </c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D217" s="1" t="s">
        <v>41</v>
      </c>
      <c r="E217" s="1">
        <v>70.0</v>
      </c>
      <c r="F217" s="1">
        <v>25.0</v>
      </c>
      <c r="H217" s="1">
        <v>706839.208208876</v>
      </c>
      <c r="I217" s="1">
        <v>7.18703985214233</v>
      </c>
      <c r="J217" s="1">
        <v>729828.999999999</v>
      </c>
      <c r="K217" s="1">
        <v>729828.999999999</v>
      </c>
      <c r="L217" s="1">
        <v>729828.999999999</v>
      </c>
      <c r="M217" s="1">
        <v>8.97785854339599</v>
      </c>
      <c r="N217" s="1">
        <v>183.0</v>
      </c>
      <c r="O217" s="5">
        <f t="shared" si="19"/>
        <v>0</v>
      </c>
      <c r="Q217" s="1">
        <v>707103.311834003</v>
      </c>
      <c r="S217" s="1">
        <v>37.08576130867</v>
      </c>
      <c r="U217" s="1">
        <v>96387.2668595449</v>
      </c>
      <c r="V217" s="1">
        <v>3.90122818946838</v>
      </c>
      <c r="X217" s="1">
        <v>693113.110815441</v>
      </c>
      <c r="Y217" s="1">
        <v>8.34598994255066</v>
      </c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D218" s="1" t="s">
        <v>42</v>
      </c>
      <c r="E218" s="1">
        <v>70.0</v>
      </c>
      <c r="F218" s="1">
        <v>25.0</v>
      </c>
      <c r="H218" s="1">
        <v>684953.919553024</v>
      </c>
      <c r="I218" s="1">
        <v>7.17489147186279</v>
      </c>
      <c r="J218" s="1">
        <v>770343.0</v>
      </c>
      <c r="K218" s="1">
        <v>712984.999999999</v>
      </c>
      <c r="L218" s="1">
        <v>712984.999999999</v>
      </c>
      <c r="M218" s="1">
        <v>13.9908452033996</v>
      </c>
      <c r="N218" s="1">
        <v>685.0</v>
      </c>
      <c r="O218" s="5">
        <f t="shared" si="19"/>
        <v>0</v>
      </c>
      <c r="Q218" s="1">
        <v>685251.418148761</v>
      </c>
      <c r="S218" s="1">
        <v>29.5465235710144</v>
      </c>
      <c r="U218" s="1">
        <v>95103.0011932957</v>
      </c>
      <c r="V218" s="1">
        <v>3.56056451797485</v>
      </c>
      <c r="X218" s="1">
        <v>670347.256310517</v>
      </c>
      <c r="Y218" s="1">
        <v>10.7524256706237</v>
      </c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D219" s="1" t="s">
        <v>43</v>
      </c>
      <c r="E219" s="1">
        <v>70.0</v>
      </c>
      <c r="F219" s="1">
        <v>25.0</v>
      </c>
      <c r="H219" s="1">
        <v>721465.764983922</v>
      </c>
      <c r="I219" s="1">
        <v>7.17310738563537</v>
      </c>
      <c r="J219" s="1">
        <v>750281.0</v>
      </c>
      <c r="K219" s="1">
        <v>750281.0</v>
      </c>
      <c r="L219" s="1">
        <v>750281.0</v>
      </c>
      <c r="M219" s="1">
        <v>11.1513361930847</v>
      </c>
      <c r="N219" s="1">
        <v>441.0</v>
      </c>
      <c r="O219" s="5">
        <f t="shared" si="19"/>
        <v>0</v>
      </c>
      <c r="Q219" s="1">
        <v>721970.443263992</v>
      </c>
      <c r="S219" s="1">
        <v>80.3987128734588</v>
      </c>
      <c r="U219" s="1">
        <v>96701.9835181522</v>
      </c>
      <c r="V219" s="1">
        <v>4.00286507606506</v>
      </c>
      <c r="X219" s="1">
        <v>710677.474011776</v>
      </c>
      <c r="Y219" s="1">
        <v>11.0649256706237</v>
      </c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D220" s="1" t="s">
        <v>44</v>
      </c>
      <c r="E220" s="1">
        <v>70.0</v>
      </c>
      <c r="F220" s="1">
        <v>25.0</v>
      </c>
      <c r="H220" s="1">
        <v>682810.139475233</v>
      </c>
      <c r="I220" s="1">
        <v>7.13948988914489</v>
      </c>
      <c r="J220" s="1">
        <v>706174.0</v>
      </c>
      <c r="K220" s="1">
        <v>706173.999999999</v>
      </c>
      <c r="L220" s="1">
        <v>706173.999999999</v>
      </c>
      <c r="M220" s="1">
        <v>10.4214341640472</v>
      </c>
      <c r="N220" s="1">
        <v>359.0</v>
      </c>
      <c r="O220" s="5">
        <f t="shared" si="19"/>
        <v>0</v>
      </c>
      <c r="Q220" s="1">
        <v>683057.628250584</v>
      </c>
      <c r="S220" s="1">
        <v>30.0900328159332</v>
      </c>
      <c r="U220" s="1">
        <v>97284.0010748038</v>
      </c>
      <c r="V220" s="1">
        <v>3.75290751457214</v>
      </c>
      <c r="X220" s="1">
        <v>669920.083392421</v>
      </c>
      <c r="Y220" s="1">
        <v>7.61730146408081</v>
      </c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D221" s="1" t="s">
        <v>45</v>
      </c>
      <c r="E221" s="1">
        <v>70.0</v>
      </c>
      <c r="F221" s="1">
        <v>25.0</v>
      </c>
      <c r="H221" s="1">
        <v>708827.231228473</v>
      </c>
      <c r="I221" s="1">
        <v>7.17408609390258</v>
      </c>
      <c r="J221" s="1">
        <v>728439.999999999</v>
      </c>
      <c r="K221" s="1">
        <v>728439.999999999</v>
      </c>
      <c r="L221" s="1">
        <v>728439.999999999</v>
      </c>
      <c r="M221" s="1">
        <v>9.70036792755127</v>
      </c>
      <c r="N221" s="1">
        <v>295.0</v>
      </c>
      <c r="O221" s="5">
        <f t="shared" si="19"/>
        <v>0</v>
      </c>
      <c r="Q221" s="1">
        <v>709121.036127767</v>
      </c>
      <c r="S221" s="1">
        <v>47.8604323863983</v>
      </c>
      <c r="U221" s="1">
        <v>98958.6716838062</v>
      </c>
      <c r="V221" s="1">
        <v>3.55718255043029</v>
      </c>
      <c r="X221" s="1">
        <v>697575.05048933</v>
      </c>
      <c r="Y221" s="1">
        <v>10.2306921482086</v>
      </c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D222" s="1"/>
      <c r="E222" s="6">
        <f t="shared" ref="E222:F222" si="20">AVERAGE(E192:E221)</f>
        <v>70</v>
      </c>
      <c r="F222" s="6">
        <f t="shared" si="20"/>
        <v>25</v>
      </c>
      <c r="H222" s="6">
        <f t="shared" ref="H222:O222" si="21">AVERAGE(H192:H221)</f>
        <v>695760.1195</v>
      </c>
      <c r="I222" s="6">
        <f t="shared" si="21"/>
        <v>7.177550594</v>
      </c>
      <c r="J222" s="6">
        <f t="shared" si="21"/>
        <v>742335.3667</v>
      </c>
      <c r="K222" s="6">
        <f t="shared" si="21"/>
        <v>727282.0667</v>
      </c>
      <c r="L222" s="6">
        <f t="shared" si="21"/>
        <v>727282.0667</v>
      </c>
      <c r="M222" s="6">
        <f t="shared" si="21"/>
        <v>17.30312148</v>
      </c>
      <c r="N222" s="6">
        <f t="shared" si="21"/>
        <v>1041.066667</v>
      </c>
      <c r="O222" s="6">
        <f t="shared" si="21"/>
        <v>0</v>
      </c>
      <c r="Q222" s="6">
        <f>AVERAGE(Q192:Q221)</f>
        <v>696033.5361</v>
      </c>
      <c r="S222" s="6">
        <f>AVERAGE(S192:S221)</f>
        <v>39.03329712</v>
      </c>
    </row>
    <row r="223">
      <c r="D223" s="1" t="s">
        <v>16</v>
      </c>
      <c r="E223" s="1">
        <v>70.0</v>
      </c>
      <c r="F223" s="1">
        <v>30.0</v>
      </c>
      <c r="H223" s="1">
        <v>919167.171317448</v>
      </c>
      <c r="I223" s="1">
        <v>7.3242449760437</v>
      </c>
      <c r="J223" s="1">
        <v>929089.999999999</v>
      </c>
      <c r="K223" s="1">
        <v>929089.999999999</v>
      </c>
      <c r="L223" s="1">
        <v>929089.999999999</v>
      </c>
      <c r="M223" s="1">
        <v>7.88745856285095</v>
      </c>
      <c r="N223" s="1">
        <v>69.0</v>
      </c>
      <c r="O223" s="5">
        <f t="shared" ref="O223:O252" si="22">100*(K223-L223)/K223</f>
        <v>0</v>
      </c>
      <c r="Q223" s="1">
        <v>919431.228010216</v>
      </c>
      <c r="S223" s="1">
        <v>69.6343281269073</v>
      </c>
      <c r="U223" s="1">
        <v>104726.931349261</v>
      </c>
      <c r="V223" s="1">
        <v>14.0064458847045</v>
      </c>
      <c r="X223" s="1">
        <v>909228.581788209</v>
      </c>
      <c r="Y223" s="1">
        <v>12.9117193222045</v>
      </c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D224" s="1" t="s">
        <v>17</v>
      </c>
      <c r="E224" s="1">
        <v>70.0</v>
      </c>
      <c r="F224" s="1">
        <v>30.0</v>
      </c>
      <c r="H224" s="1">
        <v>1123453.70348626</v>
      </c>
      <c r="I224" s="1">
        <v>7.26746582984924</v>
      </c>
      <c r="J224" s="1">
        <v>1165645.99999999</v>
      </c>
      <c r="K224" s="1">
        <v>1161621.99999999</v>
      </c>
      <c r="L224" s="1">
        <v>1161621.99999999</v>
      </c>
      <c r="M224" s="1">
        <v>10.8193655014038</v>
      </c>
      <c r="N224" s="1">
        <v>381.0</v>
      </c>
      <c r="O224" s="5">
        <f t="shared" si="22"/>
        <v>0</v>
      </c>
      <c r="Q224" s="1">
        <v>1123841.34355129</v>
      </c>
      <c r="S224" s="1">
        <v>43.8236842155456</v>
      </c>
      <c r="U224" s="1">
        <v>107620.00699314</v>
      </c>
      <c r="V224" s="1">
        <v>4.68934178352356</v>
      </c>
      <c r="X224" s="1">
        <v>1094887.46257803</v>
      </c>
      <c r="Y224" s="1">
        <v>8.85275101661682</v>
      </c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D225" s="1" t="s">
        <v>18</v>
      </c>
      <c r="E225" s="1">
        <v>70.0</v>
      </c>
      <c r="F225" s="1">
        <v>30.0</v>
      </c>
      <c r="H225" s="1">
        <v>951043.380171902</v>
      </c>
      <c r="I225" s="1">
        <v>7.37358045578002</v>
      </c>
      <c r="J225" s="1">
        <v>956914.999999999</v>
      </c>
      <c r="K225" s="1">
        <v>956914.999999999</v>
      </c>
      <c r="L225" s="1">
        <v>956914.999999999</v>
      </c>
      <c r="M225" s="1">
        <v>8.83723855018615</v>
      </c>
      <c r="N225" s="1">
        <v>173.0</v>
      </c>
      <c r="O225" s="5">
        <f t="shared" si="22"/>
        <v>0</v>
      </c>
      <c r="Q225" s="1">
        <v>951272.45508579</v>
      </c>
      <c r="S225" s="1">
        <v>62.1533770561218</v>
      </c>
      <c r="U225" s="1">
        <v>105890.012143626</v>
      </c>
      <c r="V225" s="1">
        <v>4.26901364326477</v>
      </c>
      <c r="X225" s="1">
        <v>940337.663940138</v>
      </c>
      <c r="Y225" s="1">
        <v>9.20461010932922</v>
      </c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D226" s="1" t="s">
        <v>19</v>
      </c>
      <c r="E226" s="1">
        <v>70.0</v>
      </c>
      <c r="F226" s="1">
        <v>30.0</v>
      </c>
      <c r="H226" s="1">
        <v>1078511.17237077</v>
      </c>
      <c r="I226" s="1">
        <v>7.3564600944519</v>
      </c>
      <c r="J226" s="1">
        <v>1103031.99999999</v>
      </c>
      <c r="K226" s="1">
        <v>1103031.99999999</v>
      </c>
      <c r="L226" s="1">
        <v>1103031.99999999</v>
      </c>
      <c r="M226" s="1">
        <v>10.1832561492919</v>
      </c>
      <c r="N226" s="1">
        <v>321.0</v>
      </c>
      <c r="O226" s="5">
        <f t="shared" si="22"/>
        <v>0</v>
      </c>
      <c r="Q226" s="1">
        <v>1078757.53896107</v>
      </c>
      <c r="S226" s="1">
        <v>21.2852480411529</v>
      </c>
      <c r="U226" s="1">
        <v>106336.402844881</v>
      </c>
      <c r="V226" s="1">
        <v>6.6934950351715</v>
      </c>
      <c r="X226" s="1">
        <v>1060189.64638907</v>
      </c>
      <c r="Y226" s="1">
        <v>7.91385579109191</v>
      </c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D227" s="1" t="s">
        <v>20</v>
      </c>
      <c r="E227" s="1">
        <v>70.0</v>
      </c>
      <c r="F227" s="1">
        <v>30.0</v>
      </c>
      <c r="H227" s="1">
        <v>1081575.08287965</v>
      </c>
      <c r="I227" s="1">
        <v>7.49618053436279</v>
      </c>
      <c r="J227" s="1">
        <v>1150376.99999999</v>
      </c>
      <c r="K227" s="1">
        <v>1114150.99999999</v>
      </c>
      <c r="L227" s="1">
        <v>1114150.99999999</v>
      </c>
      <c r="M227" s="1">
        <v>17.2475228309631</v>
      </c>
      <c r="N227" s="1">
        <v>995.0</v>
      </c>
      <c r="O227" s="5">
        <f t="shared" si="22"/>
        <v>0</v>
      </c>
      <c r="Q227" s="1">
        <v>1081924.58051366</v>
      </c>
      <c r="S227" s="1">
        <v>30.684879541397</v>
      </c>
      <c r="U227" s="1">
        <v>106424.513627505</v>
      </c>
      <c r="V227" s="1">
        <v>15.1742672920227</v>
      </c>
      <c r="X227" s="1">
        <v>1054366.85724979</v>
      </c>
      <c r="Y227" s="1">
        <v>7.69568967819213</v>
      </c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D228" s="1" t="s">
        <v>21</v>
      </c>
      <c r="E228" s="1">
        <v>70.0</v>
      </c>
      <c r="F228" s="1">
        <v>30.0</v>
      </c>
      <c r="H228" s="1">
        <v>975459.181971187</v>
      </c>
      <c r="I228" s="1">
        <v>7.33530497550964</v>
      </c>
      <c r="J228" s="1">
        <v>979452.999999999</v>
      </c>
      <c r="K228" s="1">
        <v>979452.999999999</v>
      </c>
      <c r="L228" s="1">
        <v>979452.999999999</v>
      </c>
      <c r="M228" s="1">
        <v>8.46860122680664</v>
      </c>
      <c r="N228" s="1">
        <v>141.0</v>
      </c>
      <c r="O228" s="5">
        <f t="shared" si="22"/>
        <v>0</v>
      </c>
      <c r="Q228" s="1">
        <v>975730.424888353</v>
      </c>
      <c r="S228" s="1">
        <v>81.1852295398712</v>
      </c>
      <c r="U228" s="1">
        <v>105731.892369592</v>
      </c>
      <c r="V228" s="1">
        <v>4.00085282325744</v>
      </c>
      <c r="X228" s="1">
        <v>963621.307993993</v>
      </c>
      <c r="Y228" s="1">
        <v>15.2251915931701</v>
      </c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D229" s="1" t="s">
        <v>22</v>
      </c>
      <c r="E229" s="1">
        <v>70.0</v>
      </c>
      <c r="F229" s="1">
        <v>30.0</v>
      </c>
      <c r="H229" s="1">
        <v>1066250.72597925</v>
      </c>
      <c r="I229" s="1">
        <v>7.32057499885559</v>
      </c>
      <c r="J229" s="1">
        <v>1087124.0</v>
      </c>
      <c r="K229" s="1">
        <v>1087123.99999999</v>
      </c>
      <c r="L229" s="1">
        <v>1087123.99999999</v>
      </c>
      <c r="M229" s="1">
        <v>9.42690229415893</v>
      </c>
      <c r="N229" s="1">
        <v>251.0</v>
      </c>
      <c r="O229" s="5">
        <f t="shared" si="22"/>
        <v>0</v>
      </c>
      <c r="Q229" s="1">
        <v>1066632.35290528</v>
      </c>
      <c r="S229" s="1">
        <v>49.7706472873687</v>
      </c>
      <c r="U229" s="1">
        <v>106575.99994301</v>
      </c>
      <c r="V229" s="1">
        <v>3.92516350746154</v>
      </c>
      <c r="X229" s="1">
        <v>1048288.97456944</v>
      </c>
      <c r="Y229" s="1">
        <v>11.0616564750671</v>
      </c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D230" s="1" t="s">
        <v>23</v>
      </c>
      <c r="E230" s="1">
        <v>70.0</v>
      </c>
      <c r="F230" s="1">
        <v>30.0</v>
      </c>
      <c r="H230" s="1">
        <v>1076891.55346318</v>
      </c>
      <c r="I230" s="1">
        <v>7.31838107109069</v>
      </c>
      <c r="J230" s="1">
        <v>1104141.0</v>
      </c>
      <c r="K230" s="1">
        <v>1104141.0</v>
      </c>
      <c r="L230" s="1">
        <v>1104141.0</v>
      </c>
      <c r="M230" s="1">
        <v>9.00704216957092</v>
      </c>
      <c r="N230" s="1">
        <v>193.0</v>
      </c>
      <c r="O230" s="5">
        <f t="shared" si="22"/>
        <v>0</v>
      </c>
      <c r="Q230" s="1">
        <v>1077213.53434807</v>
      </c>
      <c r="S230" s="1">
        <v>35.5644011497497</v>
      </c>
      <c r="U230" s="1">
        <v>105154.987985495</v>
      </c>
      <c r="V230" s="1">
        <v>3.65628600120544</v>
      </c>
      <c r="X230" s="1">
        <v>1061040.39865361</v>
      </c>
      <c r="Y230" s="1">
        <v>11.2108314037323</v>
      </c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D231" s="1" t="s">
        <v>24</v>
      </c>
      <c r="E231" s="1">
        <v>70.0</v>
      </c>
      <c r="F231" s="1">
        <v>30.0</v>
      </c>
      <c r="H231" s="1">
        <v>1058059.71273758</v>
      </c>
      <c r="I231" s="1">
        <v>7.36863660812377</v>
      </c>
      <c r="J231" s="1">
        <v>1070000.0</v>
      </c>
      <c r="K231" s="1">
        <v>1070000.0</v>
      </c>
      <c r="L231" s="1">
        <v>1070000.0</v>
      </c>
      <c r="M231" s="1">
        <v>10.0853974819183</v>
      </c>
      <c r="N231" s="1">
        <v>315.0</v>
      </c>
      <c r="O231" s="5">
        <f t="shared" si="22"/>
        <v>0</v>
      </c>
      <c r="Q231" s="1">
        <v>1058350.66272061</v>
      </c>
      <c r="S231" s="1">
        <v>42.8033185005188</v>
      </c>
      <c r="U231" s="1">
        <v>105951.569616729</v>
      </c>
      <c r="V231" s="1">
        <v>9.85952472686767</v>
      </c>
      <c r="X231" s="1">
        <v>1040969.99773287</v>
      </c>
      <c r="Y231" s="1">
        <v>9.23237657546997</v>
      </c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D232" s="1" t="s">
        <v>25</v>
      </c>
      <c r="E232" s="1">
        <v>70.0</v>
      </c>
      <c r="F232" s="1">
        <v>30.0</v>
      </c>
      <c r="H232" s="1">
        <v>1137345.99910148</v>
      </c>
      <c r="I232" s="1">
        <v>7.31338834762573</v>
      </c>
      <c r="J232" s="1">
        <v>1174896.0</v>
      </c>
      <c r="K232" s="1">
        <v>1169837.0</v>
      </c>
      <c r="L232" s="1">
        <v>1169837.0</v>
      </c>
      <c r="M232" s="1">
        <v>12.3831312656402</v>
      </c>
      <c r="N232" s="1">
        <v>577.0</v>
      </c>
      <c r="O232" s="5">
        <f t="shared" si="22"/>
        <v>0</v>
      </c>
      <c r="Q232" s="1">
        <v>1137704.39284364</v>
      </c>
      <c r="S232" s="1">
        <v>48.5812983512878</v>
      </c>
      <c r="U232" s="1">
        <v>107391.970007047</v>
      </c>
      <c r="V232" s="1">
        <v>3.78788876533508</v>
      </c>
      <c r="X232" s="1">
        <v>1116304.32141617</v>
      </c>
      <c r="Y232" s="1">
        <v>7.58227491378784</v>
      </c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D233" s="1" t="s">
        <v>26</v>
      </c>
      <c r="E233" s="1">
        <v>70.0</v>
      </c>
      <c r="F233" s="1">
        <v>30.0</v>
      </c>
      <c r="H233" s="1">
        <v>1096765.95798269</v>
      </c>
      <c r="I233" s="1">
        <v>7.46882390975952</v>
      </c>
      <c r="J233" s="1">
        <v>1117255.0</v>
      </c>
      <c r="K233" s="1">
        <v>1117255.0</v>
      </c>
      <c r="L233" s="1">
        <v>1117255.0</v>
      </c>
      <c r="M233" s="1">
        <v>10.4107906818389</v>
      </c>
      <c r="N233" s="1">
        <v>345.0</v>
      </c>
      <c r="O233" s="5">
        <f t="shared" si="22"/>
        <v>0</v>
      </c>
      <c r="Q233" s="1">
        <v>1097101.45813155</v>
      </c>
      <c r="S233" s="1">
        <v>35.8096241950988</v>
      </c>
      <c r="U233" s="1">
        <v>108636.396831217</v>
      </c>
      <c r="V233" s="1">
        <v>4.38916850090026</v>
      </c>
      <c r="X233" s="1">
        <v>1072654.32928201</v>
      </c>
      <c r="Y233" s="1">
        <v>8.25058627128601</v>
      </c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D234" s="1" t="s">
        <v>27</v>
      </c>
      <c r="E234" s="1">
        <v>70.0</v>
      </c>
      <c r="F234" s="1">
        <v>30.0</v>
      </c>
      <c r="H234" s="1">
        <v>1100598.27768212</v>
      </c>
      <c r="I234" s="1">
        <v>7.27324938774108</v>
      </c>
      <c r="J234" s="1">
        <v>1121599.0</v>
      </c>
      <c r="K234" s="1">
        <v>1118749.0</v>
      </c>
      <c r="L234" s="1">
        <v>1118749.0</v>
      </c>
      <c r="M234" s="1">
        <v>9.38685202598571</v>
      </c>
      <c r="N234" s="1">
        <v>241.0</v>
      </c>
      <c r="O234" s="5">
        <f t="shared" si="22"/>
        <v>0</v>
      </c>
      <c r="Q234" s="1">
        <v>1100966.48356138</v>
      </c>
      <c r="S234" s="1">
        <v>36.7607722282409</v>
      </c>
      <c r="U234" s="1">
        <v>104341.412638639</v>
      </c>
      <c r="V234" s="1">
        <v>3.95279002189636</v>
      </c>
      <c r="X234" s="1">
        <v>1074883.7913812</v>
      </c>
      <c r="Y234" s="1">
        <v>10.3826103210449</v>
      </c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D235" s="1" t="s">
        <v>28</v>
      </c>
      <c r="E235" s="1">
        <v>70.0</v>
      </c>
      <c r="F235" s="1">
        <v>30.0</v>
      </c>
      <c r="H235" s="1">
        <v>1054024.00114116</v>
      </c>
      <c r="I235" s="1">
        <v>7.32318258285522</v>
      </c>
      <c r="J235" s="1">
        <v>1092727.0</v>
      </c>
      <c r="K235" s="1">
        <v>1078094.99999999</v>
      </c>
      <c r="L235" s="1">
        <v>1078094.99999999</v>
      </c>
      <c r="M235" s="1">
        <v>10.917197227478</v>
      </c>
      <c r="N235" s="1">
        <v>375.0</v>
      </c>
      <c r="O235" s="5">
        <f t="shared" si="22"/>
        <v>0</v>
      </c>
      <c r="Q235" s="1">
        <v>1054378.08545264</v>
      </c>
      <c r="S235" s="1">
        <v>22.4573984146118</v>
      </c>
      <c r="U235" s="1">
        <v>105371.98630458</v>
      </c>
      <c r="V235" s="1">
        <v>4.22685551643371</v>
      </c>
      <c r="X235" s="1">
        <v>1027593.10960438</v>
      </c>
      <c r="Y235" s="1">
        <v>10.9443488121032</v>
      </c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D236" s="1" t="s">
        <v>29</v>
      </c>
      <c r="E236" s="1">
        <v>70.0</v>
      </c>
      <c r="F236" s="1">
        <v>30.0</v>
      </c>
      <c r="H236" s="1">
        <v>1006963.23372614</v>
      </c>
      <c r="I236" s="1">
        <v>7.30967044830322</v>
      </c>
      <c r="J236" s="1">
        <v>1033561.99999999</v>
      </c>
      <c r="K236" s="1">
        <v>1033561.99999999</v>
      </c>
      <c r="L236" s="1">
        <v>1033561.99999999</v>
      </c>
      <c r="M236" s="1">
        <v>10.3064482212066</v>
      </c>
      <c r="N236" s="1">
        <v>353.0</v>
      </c>
      <c r="O236" s="5">
        <f t="shared" si="22"/>
        <v>0</v>
      </c>
      <c r="Q236" s="1">
        <v>1007316.25848036</v>
      </c>
      <c r="S236" s="1">
        <v>36.9553818702697</v>
      </c>
      <c r="U236" s="1">
        <v>105322.046042581</v>
      </c>
      <c r="V236" s="1">
        <v>4.02036905288696</v>
      </c>
      <c r="X236" s="1">
        <v>999169.545902515</v>
      </c>
      <c r="Y236" s="1">
        <v>10.6802535057067</v>
      </c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D237" s="1" t="s">
        <v>30</v>
      </c>
      <c r="E237" s="1">
        <v>70.0</v>
      </c>
      <c r="F237" s="1">
        <v>30.0</v>
      </c>
      <c r="H237" s="1">
        <v>1132735.45587212</v>
      </c>
      <c r="I237" s="1">
        <v>7.31616353988647</v>
      </c>
      <c r="J237" s="1">
        <v>1223499.99999999</v>
      </c>
      <c r="K237" s="1">
        <v>1175666.99999999</v>
      </c>
      <c r="L237" s="1">
        <v>1175666.99999999</v>
      </c>
      <c r="M237" s="1">
        <v>22.521812915802</v>
      </c>
      <c r="N237" s="1">
        <v>1559.0</v>
      </c>
      <c r="O237" s="5">
        <f t="shared" si="22"/>
        <v>0</v>
      </c>
      <c r="Q237" s="1">
        <v>1133102.55648727</v>
      </c>
      <c r="S237" s="1">
        <v>31.3376672267913</v>
      </c>
      <c r="U237" s="1">
        <v>106706.000843667</v>
      </c>
      <c r="V237" s="1">
        <v>4.09832024574279</v>
      </c>
      <c r="X237" s="1">
        <v>1110896.52575221</v>
      </c>
      <c r="Y237" s="1">
        <v>8.11403632164001</v>
      </c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D238" s="1" t="s">
        <v>31</v>
      </c>
      <c r="E238" s="1">
        <v>70.0</v>
      </c>
      <c r="F238" s="1">
        <v>30.0</v>
      </c>
      <c r="H238" s="1">
        <v>1088541.02547269</v>
      </c>
      <c r="I238" s="1">
        <v>7.30463051795959</v>
      </c>
      <c r="J238" s="1">
        <v>1112478.99999999</v>
      </c>
      <c r="K238" s="1">
        <v>1112478.99999999</v>
      </c>
      <c r="L238" s="1">
        <v>1112478.99999999</v>
      </c>
      <c r="M238" s="1">
        <v>9.79485559463501</v>
      </c>
      <c r="N238" s="1">
        <v>297.0</v>
      </c>
      <c r="O238" s="5">
        <f t="shared" si="22"/>
        <v>0</v>
      </c>
      <c r="Q238" s="1">
        <v>1088809.49259715</v>
      </c>
      <c r="S238" s="1">
        <v>80.7897908687591</v>
      </c>
      <c r="U238" s="1">
        <v>106201.523450826</v>
      </c>
      <c r="V238" s="1">
        <v>7.45297884941101</v>
      </c>
      <c r="X238" s="1">
        <v>1074297.99709478</v>
      </c>
      <c r="Y238" s="1">
        <v>10.0196509361267</v>
      </c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D239" s="1" t="s">
        <v>32</v>
      </c>
      <c r="E239" s="1">
        <v>70.0</v>
      </c>
      <c r="F239" s="1">
        <v>30.0</v>
      </c>
      <c r="H239" s="1">
        <v>1111854.24512443</v>
      </c>
      <c r="I239" s="1">
        <v>7.32087469100952</v>
      </c>
      <c r="J239" s="1">
        <v>1140606.0</v>
      </c>
      <c r="K239" s="1">
        <v>1130457.0</v>
      </c>
      <c r="L239" s="1">
        <v>1130457.0</v>
      </c>
      <c r="M239" s="1">
        <v>11.2727100849151</v>
      </c>
      <c r="N239" s="1">
        <v>413.0</v>
      </c>
      <c r="O239" s="5">
        <f t="shared" si="22"/>
        <v>0</v>
      </c>
      <c r="Q239" s="1">
        <v>1112192.46243632</v>
      </c>
      <c r="S239" s="1">
        <v>29.8166408538818</v>
      </c>
      <c r="U239" s="1">
        <v>107317.039862267</v>
      </c>
      <c r="V239" s="1">
        <v>3.58368515968322</v>
      </c>
      <c r="X239" s="1">
        <v>1085100.21582767</v>
      </c>
      <c r="Y239" s="1">
        <v>10.1391108036041</v>
      </c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D240" s="1" t="s">
        <v>33</v>
      </c>
      <c r="E240" s="1">
        <v>70.0</v>
      </c>
      <c r="F240" s="1">
        <v>30.0</v>
      </c>
      <c r="H240" s="1">
        <v>1176065.38996214</v>
      </c>
      <c r="I240" s="1">
        <v>7.30409526824951</v>
      </c>
      <c r="J240" s="1">
        <v>1247393.0</v>
      </c>
      <c r="K240" s="1">
        <v>1221351.0</v>
      </c>
      <c r="L240" s="1">
        <v>1221351.0</v>
      </c>
      <c r="M240" s="1">
        <v>22.6094763278961</v>
      </c>
      <c r="N240" s="1">
        <v>1637.0</v>
      </c>
      <c r="O240" s="5">
        <f t="shared" si="22"/>
        <v>0</v>
      </c>
      <c r="Q240" s="1">
        <v>1176381.30495359</v>
      </c>
      <c r="S240" s="1">
        <v>39.8349277973175</v>
      </c>
      <c r="U240" s="1">
        <v>108056.705194447</v>
      </c>
      <c r="V240" s="1">
        <v>3.66205716133117</v>
      </c>
      <c r="X240" s="1">
        <v>1151299.75901531</v>
      </c>
      <c r="Y240" s="1">
        <v>9.33474445343017</v>
      </c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D241" s="1" t="s">
        <v>34</v>
      </c>
      <c r="E241" s="1">
        <v>70.0</v>
      </c>
      <c r="F241" s="1">
        <v>30.0</v>
      </c>
      <c r="H241" s="1">
        <v>1101266.19089399</v>
      </c>
      <c r="I241" s="1">
        <v>7.3054449558258</v>
      </c>
      <c r="J241" s="1">
        <v>1141229.0</v>
      </c>
      <c r="K241" s="1">
        <v>1138654.0</v>
      </c>
      <c r="L241" s="1">
        <v>1138654.0</v>
      </c>
      <c r="M241" s="1">
        <v>16.6097974777221</v>
      </c>
      <c r="N241" s="1">
        <v>973.0</v>
      </c>
      <c r="O241" s="5">
        <f t="shared" si="22"/>
        <v>0</v>
      </c>
      <c r="Q241" s="1">
        <v>1101610.99269573</v>
      </c>
      <c r="S241" s="1">
        <v>36.4237012863159</v>
      </c>
      <c r="U241" s="1">
        <v>105720.994837621</v>
      </c>
      <c r="V241" s="1">
        <v>3.73441433906555</v>
      </c>
      <c r="X241" s="1">
        <v>1076029.42263952</v>
      </c>
      <c r="Y241" s="1">
        <v>10.9799153804779</v>
      </c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D242" s="1" t="s">
        <v>35</v>
      </c>
      <c r="E242" s="1">
        <v>70.0</v>
      </c>
      <c r="F242" s="1">
        <v>30.0</v>
      </c>
      <c r="H242" s="1">
        <v>1031300.16638501</v>
      </c>
      <c r="I242" s="1">
        <v>7.37685298919677</v>
      </c>
      <c r="J242" s="1">
        <v>1034943.99999999</v>
      </c>
      <c r="K242" s="1">
        <v>1034943.99999999</v>
      </c>
      <c r="L242" s="1">
        <v>1034943.99999999</v>
      </c>
      <c r="M242" s="1">
        <v>7.81992387771606</v>
      </c>
      <c r="N242" s="1">
        <v>57.0</v>
      </c>
      <c r="O242" s="5">
        <f t="shared" si="22"/>
        <v>0</v>
      </c>
      <c r="Q242" s="1">
        <v>1031559.58535083</v>
      </c>
      <c r="S242" s="1">
        <v>34.2005310058593</v>
      </c>
      <c r="U242" s="1">
        <v>104695.564406271</v>
      </c>
      <c r="V242" s="1">
        <v>3.81889700889587</v>
      </c>
      <c r="X242" s="1">
        <v>1014087.53602752</v>
      </c>
      <c r="Y242" s="1">
        <v>11.2280192375183</v>
      </c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D243" s="1" t="s">
        <v>36</v>
      </c>
      <c r="E243" s="1">
        <v>70.0</v>
      </c>
      <c r="F243" s="1">
        <v>30.0</v>
      </c>
      <c r="H243" s="1">
        <v>1062896.08331468</v>
      </c>
      <c r="I243" s="1">
        <v>7.31347632408142</v>
      </c>
      <c r="J243" s="1">
        <v>1071891.0</v>
      </c>
      <c r="K243" s="1">
        <v>1071891.0</v>
      </c>
      <c r="L243" s="1">
        <v>1071891.0</v>
      </c>
      <c r="M243" s="1">
        <v>9.12545228004455</v>
      </c>
      <c r="N243" s="1">
        <v>203.0</v>
      </c>
      <c r="O243" s="5">
        <f t="shared" si="22"/>
        <v>0</v>
      </c>
      <c r="Q243" s="1">
        <v>1063189.52906672</v>
      </c>
      <c r="S243" s="1">
        <v>24.9460117816925</v>
      </c>
      <c r="U243" s="1">
        <v>106483.112284229</v>
      </c>
      <c r="V243" s="1">
        <v>4.5268805027008</v>
      </c>
      <c r="X243" s="1">
        <v>1041065.2078666</v>
      </c>
      <c r="Y243" s="1">
        <v>8.96633768081665</v>
      </c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D244" s="1" t="s">
        <v>37</v>
      </c>
      <c r="E244" s="1">
        <v>70.0</v>
      </c>
      <c r="F244" s="1">
        <v>30.0</v>
      </c>
      <c r="H244" s="1">
        <v>1090608.03782257</v>
      </c>
      <c r="I244" s="1">
        <v>7.57339334487915</v>
      </c>
      <c r="J244" s="1">
        <v>1108050.0</v>
      </c>
      <c r="K244" s="1">
        <v>1101569.0</v>
      </c>
      <c r="L244" s="1">
        <v>1101569.0</v>
      </c>
      <c r="M244" s="1">
        <v>9.64188194274902</v>
      </c>
      <c r="N244" s="1">
        <v>223.0</v>
      </c>
      <c r="O244" s="5">
        <f t="shared" si="22"/>
        <v>0</v>
      </c>
      <c r="Q244" s="1">
        <v>1090888.60337027</v>
      </c>
      <c r="S244" s="1">
        <v>26.3689618110656</v>
      </c>
      <c r="U244" s="1">
        <v>108924.026930785</v>
      </c>
      <c r="V244" s="1">
        <v>4.58308172225952</v>
      </c>
      <c r="X244" s="1">
        <v>1070672.35981108</v>
      </c>
      <c r="Y244" s="1">
        <v>8.89258098602295</v>
      </c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D245" s="1" t="s">
        <v>38</v>
      </c>
      <c r="E245" s="1">
        <v>70.0</v>
      </c>
      <c r="F245" s="1">
        <v>30.0</v>
      </c>
      <c r="H245" s="1">
        <v>1004129.79900863</v>
      </c>
      <c r="I245" s="1">
        <v>7.30945777893066</v>
      </c>
      <c r="J245" s="1">
        <v>1018109.0</v>
      </c>
      <c r="K245" s="1">
        <v>1018108.99999999</v>
      </c>
      <c r="L245" s="1">
        <v>1018108.99999999</v>
      </c>
      <c r="M245" s="1">
        <v>8.755375623703</v>
      </c>
      <c r="N245" s="1">
        <v>171.0</v>
      </c>
      <c r="O245" s="5">
        <f t="shared" si="22"/>
        <v>0</v>
      </c>
      <c r="Q245" s="1">
        <v>1004449.40627967</v>
      </c>
      <c r="S245" s="1">
        <v>43.6981873512268</v>
      </c>
      <c r="U245" s="1">
        <v>106323.969098128</v>
      </c>
      <c r="V245" s="1">
        <v>5.20098328590393</v>
      </c>
      <c r="X245" s="1">
        <v>989995.222884882</v>
      </c>
      <c r="Y245" s="1">
        <v>8.17423939704895</v>
      </c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D246" s="1" t="s">
        <v>39</v>
      </c>
      <c r="E246" s="1">
        <v>70.0</v>
      </c>
      <c r="F246" s="1">
        <v>30.0</v>
      </c>
      <c r="H246" s="1">
        <v>1025616.02749624</v>
      </c>
      <c r="I246" s="1">
        <v>7.33547496795654</v>
      </c>
      <c r="J246" s="1">
        <v>1035198.99999999</v>
      </c>
      <c r="K246" s="1">
        <v>1035198.99999999</v>
      </c>
      <c r="L246" s="1">
        <v>1035198.99999999</v>
      </c>
      <c r="M246" s="1">
        <v>8.82656955718994</v>
      </c>
      <c r="N246" s="1">
        <v>187.0</v>
      </c>
      <c r="O246" s="5">
        <f t="shared" si="22"/>
        <v>0</v>
      </c>
      <c r="Q246" s="1">
        <v>1025951.42780472</v>
      </c>
      <c r="S246" s="1">
        <v>81.2793147563934</v>
      </c>
      <c r="U246" s="1">
        <v>105765.841854983</v>
      </c>
      <c r="V246" s="1">
        <v>13.8904066085815</v>
      </c>
      <c r="X246" s="1">
        <v>1020081.55584879</v>
      </c>
      <c r="Y246" s="1">
        <v>7.90318131446838</v>
      </c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D247" s="1" t="s">
        <v>40</v>
      </c>
      <c r="E247" s="1">
        <v>70.0</v>
      </c>
      <c r="F247" s="1">
        <v>30.0</v>
      </c>
      <c r="H247" s="1">
        <v>1043525.16507687</v>
      </c>
      <c r="I247" s="1">
        <v>7.3132004737854</v>
      </c>
      <c r="J247" s="1">
        <v>1065033.0</v>
      </c>
      <c r="K247" s="1">
        <v>1058515.99999999</v>
      </c>
      <c r="L247" s="1">
        <v>1058515.99999999</v>
      </c>
      <c r="M247" s="1">
        <v>8.84062147140503</v>
      </c>
      <c r="N247" s="1">
        <v>143.0</v>
      </c>
      <c r="O247" s="5">
        <f t="shared" si="22"/>
        <v>0</v>
      </c>
      <c r="Q247" s="1">
        <v>1043814.63890314</v>
      </c>
      <c r="S247" s="1">
        <v>35.348559141159</v>
      </c>
      <c r="U247" s="1">
        <v>107953.917040658</v>
      </c>
      <c r="V247" s="1">
        <v>4.4390685558319</v>
      </c>
      <c r="X247" s="1">
        <v>1020938.3013271</v>
      </c>
      <c r="Y247" s="1">
        <v>8.1134512424469</v>
      </c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D248" s="1" t="s">
        <v>41</v>
      </c>
      <c r="E248" s="1">
        <v>70.0</v>
      </c>
      <c r="F248" s="1">
        <v>30.0</v>
      </c>
      <c r="H248" s="1">
        <v>1085665.70082127</v>
      </c>
      <c r="I248" s="1">
        <v>7.29782056808471</v>
      </c>
      <c r="J248" s="1">
        <v>1115072.0</v>
      </c>
      <c r="K248" s="1">
        <v>1103007.0</v>
      </c>
      <c r="L248" s="1">
        <v>1103007.0</v>
      </c>
      <c r="M248" s="1">
        <v>9.40481925010681</v>
      </c>
      <c r="N248" s="1">
        <v>221.0</v>
      </c>
      <c r="O248" s="5">
        <f t="shared" si="22"/>
        <v>0</v>
      </c>
      <c r="Q248" s="1">
        <v>1085998.35305084</v>
      </c>
      <c r="S248" s="1">
        <v>25.6860566139221</v>
      </c>
      <c r="U248" s="1">
        <v>106638.875824906</v>
      </c>
      <c r="V248" s="1">
        <v>4.48907351493835</v>
      </c>
      <c r="X248" s="1">
        <v>1058246.73222589</v>
      </c>
      <c r="Y248" s="1">
        <v>11.5346851348876</v>
      </c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D249" s="1" t="s">
        <v>42</v>
      </c>
      <c r="E249" s="1">
        <v>70.0</v>
      </c>
      <c r="F249" s="1">
        <v>30.0</v>
      </c>
      <c r="H249" s="1">
        <v>1043417.02810971</v>
      </c>
      <c r="I249" s="1">
        <v>7.28899955749511</v>
      </c>
      <c r="J249" s="1">
        <v>1066518.0</v>
      </c>
      <c r="K249" s="1">
        <v>1065361.99999999</v>
      </c>
      <c r="L249" s="1">
        <v>1065361.99999999</v>
      </c>
      <c r="M249" s="1">
        <v>11.273594379425</v>
      </c>
      <c r="N249" s="1">
        <v>421.0</v>
      </c>
      <c r="O249" s="5">
        <f t="shared" si="22"/>
        <v>0</v>
      </c>
      <c r="Q249" s="1">
        <v>1043739.52550113</v>
      </c>
      <c r="S249" s="1">
        <v>25.5263192653656</v>
      </c>
      <c r="U249" s="1">
        <v>105879.918544507</v>
      </c>
      <c r="V249" s="1">
        <v>3.6272280216217</v>
      </c>
      <c r="X249" s="1">
        <v>1015711.84499995</v>
      </c>
      <c r="Y249" s="1">
        <v>10.2203359603881</v>
      </c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D250" s="1" t="s">
        <v>43</v>
      </c>
      <c r="E250" s="1">
        <v>70.0</v>
      </c>
      <c r="F250" s="1">
        <v>30.0</v>
      </c>
      <c r="H250" s="1">
        <v>1118321.09732144</v>
      </c>
      <c r="I250" s="1">
        <v>7.29946422576904</v>
      </c>
      <c r="J250" s="1">
        <v>1128806.0</v>
      </c>
      <c r="K250" s="1">
        <v>1128806.0</v>
      </c>
      <c r="L250" s="1">
        <v>1128806.0</v>
      </c>
      <c r="M250" s="1">
        <v>9.07817602157592</v>
      </c>
      <c r="N250" s="1">
        <v>209.0</v>
      </c>
      <c r="O250" s="5">
        <f t="shared" si="22"/>
        <v>0</v>
      </c>
      <c r="Q250" s="1">
        <v>1118898.28218794</v>
      </c>
      <c r="S250" s="1">
        <v>76.300844669342</v>
      </c>
      <c r="U250" s="1">
        <v>106981.069324355</v>
      </c>
      <c r="V250" s="1">
        <v>3.69470071792602</v>
      </c>
      <c r="X250" s="1">
        <v>1096499.92072623</v>
      </c>
      <c r="Y250" s="1">
        <v>11.3449282646179</v>
      </c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D251" s="1" t="s">
        <v>44</v>
      </c>
      <c r="E251" s="1">
        <v>70.0</v>
      </c>
      <c r="F251" s="1">
        <v>30.0</v>
      </c>
      <c r="H251" s="1">
        <v>1033332.69132433</v>
      </c>
      <c r="I251" s="1">
        <v>7.31190943717956</v>
      </c>
      <c r="J251" s="1">
        <v>1051388.0</v>
      </c>
      <c r="K251" s="1">
        <v>1050734.0</v>
      </c>
      <c r="L251" s="1">
        <v>1050734.0</v>
      </c>
      <c r="M251" s="1">
        <v>11.1508300304412</v>
      </c>
      <c r="N251" s="1">
        <v>435.0</v>
      </c>
      <c r="O251" s="5">
        <f t="shared" si="22"/>
        <v>0</v>
      </c>
      <c r="Q251" s="1">
        <v>1033614.07933658</v>
      </c>
      <c r="S251" s="1">
        <v>35.2104623317718</v>
      </c>
      <c r="U251" s="1">
        <v>107743.016640395</v>
      </c>
      <c r="V251" s="1">
        <v>5.23631000518798</v>
      </c>
      <c r="X251" s="1">
        <v>1013508.48084319</v>
      </c>
      <c r="Y251" s="1">
        <v>9.03701066970825</v>
      </c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D252" s="1" t="s">
        <v>45</v>
      </c>
      <c r="E252" s="1">
        <v>70.0</v>
      </c>
      <c r="F252" s="1">
        <v>30.0</v>
      </c>
      <c r="H252" s="1">
        <v>1088038.81684488</v>
      </c>
      <c r="I252" s="1">
        <v>7.31218934059143</v>
      </c>
      <c r="J252" s="1">
        <v>1104171.99999999</v>
      </c>
      <c r="K252" s="1">
        <v>1104171.99999999</v>
      </c>
      <c r="L252" s="1">
        <v>1104171.99999999</v>
      </c>
      <c r="M252" s="1">
        <v>9.09939575195312</v>
      </c>
      <c r="N252" s="1">
        <v>203.0</v>
      </c>
      <c r="O252" s="5">
        <f t="shared" si="22"/>
        <v>0</v>
      </c>
      <c r="Q252" s="1">
        <v>1088353.70966721</v>
      </c>
      <c r="S252" s="1">
        <v>53.8288679122924</v>
      </c>
      <c r="U252" s="1">
        <v>109063.212054272</v>
      </c>
      <c r="V252" s="1">
        <v>3.48759651184082</v>
      </c>
      <c r="X252" s="1">
        <v>1067069.51375355</v>
      </c>
      <c r="Y252" s="1">
        <v>8.40379333496093</v>
      </c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D253" s="1"/>
      <c r="E253" s="6">
        <f t="shared" ref="E253:F253" si="23">AVERAGE(E223:E252)</f>
        <v>70</v>
      </c>
      <c r="F253" s="6">
        <f t="shared" si="23"/>
        <v>30</v>
      </c>
      <c r="H253" s="6">
        <f t="shared" ref="H253:O253" si="24">AVERAGE(H223:H252)</f>
        <v>1065447.402</v>
      </c>
      <c r="I253" s="6">
        <f t="shared" si="24"/>
        <v>7.337753073</v>
      </c>
      <c r="J253" s="6">
        <f t="shared" si="24"/>
        <v>1091673.533</v>
      </c>
      <c r="K253" s="6">
        <f t="shared" si="24"/>
        <v>1085798.1</v>
      </c>
      <c r="L253" s="6">
        <f t="shared" si="24"/>
        <v>1085798.1</v>
      </c>
      <c r="M253" s="6">
        <f t="shared" si="24"/>
        <v>11.03974989</v>
      </c>
      <c r="N253" s="6">
        <f t="shared" si="24"/>
        <v>402.7333333</v>
      </c>
      <c r="O253" s="6">
        <f t="shared" si="24"/>
        <v>0</v>
      </c>
      <c r="Q253" s="6">
        <f>AVERAGE(Q223:Q252)</f>
        <v>1065772.492</v>
      </c>
      <c r="S253" s="6">
        <f>AVERAGE(S223:S252)</f>
        <v>43.26888111</v>
      </c>
    </row>
    <row r="254">
      <c r="D254" s="1" t="s">
        <v>16</v>
      </c>
      <c r="E254" s="1">
        <v>80.0</v>
      </c>
      <c r="F254" s="1">
        <v>15.0</v>
      </c>
      <c r="H254" s="1">
        <v>229008.24321177</v>
      </c>
      <c r="I254" s="1">
        <v>7.99946737289428</v>
      </c>
      <c r="J254" s="1">
        <v>325568.0</v>
      </c>
      <c r="K254" s="1">
        <v>286480.0</v>
      </c>
      <c r="L254" s="1">
        <v>286480.0</v>
      </c>
      <c r="M254" s="1">
        <v>749.553344249725</v>
      </c>
      <c r="N254" s="1">
        <v>48157.0</v>
      </c>
      <c r="O254" s="5">
        <f t="shared" ref="O254:O283" si="25">100*(K254-L254)/K254</f>
        <v>0</v>
      </c>
      <c r="Q254" s="1">
        <v>229175.528762282</v>
      </c>
      <c r="S254" s="1">
        <v>49.8556876182556</v>
      </c>
      <c r="U254" s="1">
        <v>83241.0179132242</v>
      </c>
      <c r="V254" s="1">
        <v>5.48803400993347</v>
      </c>
      <c r="X254" s="1">
        <v>225273.072615772</v>
      </c>
      <c r="Y254" s="1">
        <v>8.65046739578247</v>
      </c>
      <c r="Z254" s="1"/>
    </row>
    <row r="255">
      <c r="D255" s="1" t="s">
        <v>17</v>
      </c>
      <c r="E255" s="1">
        <v>80.0</v>
      </c>
      <c r="F255" s="1">
        <v>15.0</v>
      </c>
      <c r="H255" s="1">
        <v>232780.224410598</v>
      </c>
      <c r="I255" s="1">
        <v>7.96202373504638</v>
      </c>
      <c r="J255" s="1">
        <v>347571.0</v>
      </c>
      <c r="K255" s="1">
        <v>310962.999999999</v>
      </c>
      <c r="L255" s="1">
        <v>310962.999999999</v>
      </c>
      <c r="M255" s="1">
        <v>945.138798952102</v>
      </c>
      <c r="N255" s="1">
        <v>59999.0</v>
      </c>
      <c r="O255" s="5">
        <f t="shared" si="25"/>
        <v>0</v>
      </c>
      <c r="Q255" s="1">
        <v>232959.629791374</v>
      </c>
      <c r="S255" s="1">
        <v>75.970668554306</v>
      </c>
      <c r="U255" s="1">
        <v>84176.0032528231</v>
      </c>
      <c r="V255" s="1">
        <v>5.35157871246337</v>
      </c>
      <c r="X255" s="1">
        <v>231215.274562625</v>
      </c>
      <c r="Y255" s="1">
        <v>13.1117136478424</v>
      </c>
      <c r="Z255" s="1"/>
    </row>
    <row r="256">
      <c r="D256" s="1" t="s">
        <v>18</v>
      </c>
      <c r="E256" s="1">
        <v>80.0</v>
      </c>
      <c r="F256" s="1">
        <v>15.0</v>
      </c>
      <c r="H256" s="1">
        <v>222186.723625081</v>
      </c>
      <c r="I256" s="1">
        <v>7.98124599456787</v>
      </c>
      <c r="J256" s="1">
        <v>323427.0</v>
      </c>
      <c r="K256" s="1">
        <v>278236.0</v>
      </c>
      <c r="L256" s="1">
        <v>278236.0</v>
      </c>
      <c r="M256" s="1">
        <v>340.227391004562</v>
      </c>
      <c r="N256" s="1">
        <v>23765.0</v>
      </c>
      <c r="O256" s="5">
        <f t="shared" si="25"/>
        <v>0</v>
      </c>
      <c r="Q256" s="1">
        <v>222352.66879994</v>
      </c>
      <c r="S256" s="1">
        <v>77.1248013973236</v>
      </c>
      <c r="U256" s="1">
        <v>82930.0009363404</v>
      </c>
      <c r="V256" s="1">
        <v>6.05403971672058</v>
      </c>
      <c r="X256" s="1">
        <v>219843.910087512</v>
      </c>
      <c r="Y256" s="1">
        <v>17.3036985397338</v>
      </c>
      <c r="Z256" s="1"/>
    </row>
    <row r="257">
      <c r="D257" s="1" t="s">
        <v>19</v>
      </c>
      <c r="E257" s="1">
        <v>80.0</v>
      </c>
      <c r="F257" s="1">
        <v>15.0</v>
      </c>
      <c r="H257" s="1">
        <v>237278.573813875</v>
      </c>
      <c r="I257" s="1">
        <v>8.01015257835388</v>
      </c>
      <c r="J257" s="1">
        <v>359944.0</v>
      </c>
      <c r="K257" s="1">
        <v>307236.0</v>
      </c>
      <c r="L257" s="1">
        <v>307236.0</v>
      </c>
      <c r="M257" s="1">
        <v>1022.58338594436</v>
      </c>
      <c r="N257" s="1">
        <v>61889.0</v>
      </c>
      <c r="O257" s="5">
        <f t="shared" si="25"/>
        <v>0</v>
      </c>
      <c r="Q257" s="1">
        <v>237472.216255273</v>
      </c>
      <c r="S257" s="1">
        <v>78.2180693149566</v>
      </c>
      <c r="U257" s="1">
        <v>85158.9972947613</v>
      </c>
      <c r="V257" s="1">
        <v>5.35990405082702</v>
      </c>
      <c r="X257" s="1">
        <v>233290.460178577</v>
      </c>
      <c r="Y257" s="1">
        <v>13.1114382743835</v>
      </c>
      <c r="Z257" s="1"/>
    </row>
    <row r="258">
      <c r="D258" s="1" t="s">
        <v>20</v>
      </c>
      <c r="E258" s="1">
        <v>80.0</v>
      </c>
      <c r="F258" s="1">
        <v>15.0</v>
      </c>
      <c r="H258" s="1">
        <v>235596.685988112</v>
      </c>
      <c r="I258" s="1">
        <v>7.97476840019226</v>
      </c>
      <c r="J258" s="1">
        <v>338261.0</v>
      </c>
      <c r="K258" s="1">
        <v>296324.0</v>
      </c>
      <c r="L258" s="1">
        <v>296324.0</v>
      </c>
      <c r="M258" s="1">
        <v>703.524366140365</v>
      </c>
      <c r="N258" s="1">
        <v>44665.0</v>
      </c>
      <c r="O258" s="5">
        <f t="shared" si="25"/>
        <v>0</v>
      </c>
      <c r="Q258" s="1">
        <v>235766.782963168</v>
      </c>
      <c r="S258" s="1">
        <v>47.1577110290527</v>
      </c>
      <c r="U258" s="1">
        <v>86869.0019683003</v>
      </c>
      <c r="V258" s="1">
        <v>5.52112126350402</v>
      </c>
      <c r="X258" s="1">
        <v>233965.285620055</v>
      </c>
      <c r="Y258" s="1">
        <v>17.2834441661834</v>
      </c>
      <c r="Z258" s="1"/>
    </row>
    <row r="259">
      <c r="D259" s="1" t="s">
        <v>21</v>
      </c>
      <c r="E259" s="1">
        <v>80.0</v>
      </c>
      <c r="F259" s="1">
        <v>15.0</v>
      </c>
      <c r="H259" s="1">
        <v>230900.502375098</v>
      </c>
      <c r="I259" s="1">
        <v>8.00448393821716</v>
      </c>
      <c r="J259" s="1">
        <v>336218.0</v>
      </c>
      <c r="K259" s="1">
        <v>302752.0</v>
      </c>
      <c r="L259" s="1">
        <v>300375.580885208</v>
      </c>
      <c r="M259" s="1">
        <v>3600.0454673767</v>
      </c>
      <c r="N259" s="1">
        <v>149191.0</v>
      </c>
      <c r="O259" s="5">
        <f t="shared" si="25"/>
        <v>0.784939196</v>
      </c>
      <c r="Q259" s="1">
        <v>231073.923864305</v>
      </c>
      <c r="S259" s="1">
        <v>62.5887033939361</v>
      </c>
      <c r="U259" s="1">
        <v>86088.0094259902</v>
      </c>
      <c r="V259" s="1">
        <v>5.71226811408996</v>
      </c>
      <c r="X259" s="1">
        <v>227042.454567458</v>
      </c>
      <c r="Y259" s="1">
        <v>11.3232545852661</v>
      </c>
      <c r="Z259" s="1"/>
    </row>
    <row r="260">
      <c r="D260" s="1" t="s">
        <v>22</v>
      </c>
      <c r="E260" s="1">
        <v>80.0</v>
      </c>
      <c r="F260" s="1">
        <v>15.0</v>
      </c>
      <c r="H260" s="1">
        <v>241863.62061716</v>
      </c>
      <c r="I260" s="1">
        <v>7.98088335990905</v>
      </c>
      <c r="J260" s="1">
        <v>377822.0</v>
      </c>
      <c r="K260" s="1">
        <v>319525.0</v>
      </c>
      <c r="L260" s="1">
        <v>319525.0</v>
      </c>
      <c r="M260" s="1">
        <v>2959.26724004745</v>
      </c>
      <c r="N260" s="1">
        <v>128887.0</v>
      </c>
      <c r="O260" s="5">
        <f t="shared" si="25"/>
        <v>0</v>
      </c>
      <c r="Q260" s="1">
        <v>242052.166758732</v>
      </c>
      <c r="S260" s="1">
        <v>54.7636790275573</v>
      </c>
      <c r="U260" s="1">
        <v>86412.2925236871</v>
      </c>
      <c r="V260" s="1">
        <v>6.33582472801208</v>
      </c>
      <c r="X260" s="1">
        <v>238958.163234834</v>
      </c>
      <c r="Y260" s="1">
        <v>13.9681117534637</v>
      </c>
      <c r="Z260" s="1"/>
    </row>
    <row r="261">
      <c r="D261" s="1" t="s">
        <v>23</v>
      </c>
      <c r="E261" s="1">
        <v>80.0</v>
      </c>
      <c r="F261" s="1">
        <v>15.0</v>
      </c>
      <c r="H261" s="1">
        <v>238607.303643506</v>
      </c>
      <c r="I261" s="1">
        <v>7.9733989238739</v>
      </c>
      <c r="J261" s="1">
        <v>382099.0</v>
      </c>
      <c r="K261" s="1">
        <v>320978.0</v>
      </c>
      <c r="L261" s="1">
        <v>316878.34466986</v>
      </c>
      <c r="M261" s="1">
        <v>3600.06237387657</v>
      </c>
      <c r="N261" s="1">
        <v>145565.0</v>
      </c>
      <c r="O261" s="5">
        <f t="shared" si="25"/>
        <v>1.27723873</v>
      </c>
      <c r="Q261" s="1">
        <v>238805.278139057</v>
      </c>
      <c r="S261" s="1">
        <v>56.8396747112274</v>
      </c>
      <c r="U261" s="1">
        <v>85802.9999674794</v>
      </c>
      <c r="V261" s="1">
        <v>6.45348954200744</v>
      </c>
      <c r="X261" s="1">
        <v>236002.193965188</v>
      </c>
      <c r="Y261" s="1">
        <v>13.5263619422912</v>
      </c>
      <c r="Z261" s="1"/>
    </row>
    <row r="262">
      <c r="D262" s="1" t="s">
        <v>24</v>
      </c>
      <c r="E262" s="1">
        <v>80.0</v>
      </c>
      <c r="F262" s="1">
        <v>15.0</v>
      </c>
      <c r="H262" s="1">
        <v>242989.671798043</v>
      </c>
      <c r="I262" s="1">
        <v>7.95312047004699</v>
      </c>
      <c r="J262" s="1">
        <v>351247.0</v>
      </c>
      <c r="K262" s="1">
        <v>301456.0</v>
      </c>
      <c r="L262" s="1">
        <v>301456.0</v>
      </c>
      <c r="M262" s="1">
        <v>440.061639308929</v>
      </c>
      <c r="N262" s="1">
        <v>29555.0</v>
      </c>
      <c r="O262" s="5">
        <f t="shared" si="25"/>
        <v>0</v>
      </c>
      <c r="Q262" s="1">
        <v>243188.602677163</v>
      </c>
      <c r="S262" s="1">
        <v>71.7047083377838</v>
      </c>
      <c r="U262" s="1">
        <v>84515.0168029347</v>
      </c>
      <c r="V262" s="1">
        <v>5.86073446273803</v>
      </c>
      <c r="X262" s="1">
        <v>240807.160388839</v>
      </c>
      <c r="Y262" s="1">
        <v>39.1718430519104</v>
      </c>
      <c r="Z262" s="1"/>
    </row>
    <row r="263">
      <c r="D263" s="1" t="s">
        <v>25</v>
      </c>
      <c r="E263" s="1">
        <v>80.0</v>
      </c>
      <c r="F263" s="1">
        <v>15.0</v>
      </c>
      <c r="H263" s="1">
        <v>250388.443127639</v>
      </c>
      <c r="I263" s="1">
        <v>7.94165897369384</v>
      </c>
      <c r="J263" s="1">
        <v>373641.0</v>
      </c>
      <c r="K263" s="1">
        <v>327896.999999999</v>
      </c>
      <c r="L263" s="1">
        <v>325437.838879415</v>
      </c>
      <c r="M263" s="1">
        <v>3600.05651950836</v>
      </c>
      <c r="N263" s="1">
        <v>150347.0</v>
      </c>
      <c r="O263" s="5">
        <f t="shared" si="25"/>
        <v>0.749979756</v>
      </c>
      <c r="Q263" s="1">
        <v>250602.095090375</v>
      </c>
      <c r="S263" s="1">
        <v>60.9414114952087</v>
      </c>
      <c r="U263" s="1">
        <v>87987.9838556944</v>
      </c>
      <c r="V263" s="1">
        <v>5.66178345680236</v>
      </c>
      <c r="X263" s="1">
        <v>247656.012175439</v>
      </c>
      <c r="Y263" s="1">
        <v>15.0214974880218</v>
      </c>
      <c r="Z263" s="1"/>
    </row>
    <row r="264">
      <c r="D264" s="1" t="s">
        <v>26</v>
      </c>
      <c r="E264" s="1">
        <v>80.0</v>
      </c>
      <c r="F264" s="1">
        <v>15.0</v>
      </c>
      <c r="H264" s="1">
        <v>246416.798171271</v>
      </c>
      <c r="I264" s="1">
        <v>7.99543976783752</v>
      </c>
      <c r="J264" s="1">
        <v>369662.0</v>
      </c>
      <c r="K264" s="1">
        <v>312813.0</v>
      </c>
      <c r="L264" s="1">
        <v>312813.0</v>
      </c>
      <c r="M264" s="1">
        <v>1593.98704147338</v>
      </c>
      <c r="N264" s="1">
        <v>86569.0</v>
      </c>
      <c r="O264" s="5">
        <f t="shared" si="25"/>
        <v>0</v>
      </c>
      <c r="Q264" s="1">
        <v>246613.111409885</v>
      </c>
      <c r="S264" s="1">
        <v>71.9819252490997</v>
      </c>
      <c r="U264" s="1">
        <v>87151.4235022341</v>
      </c>
      <c r="V264" s="1">
        <v>8.69687676429748</v>
      </c>
      <c r="X264" s="1">
        <v>244219.600109909</v>
      </c>
      <c r="Y264" s="1">
        <v>34.1482255458831</v>
      </c>
      <c r="Z264" s="1"/>
    </row>
    <row r="265">
      <c r="D265" s="1" t="s">
        <v>27</v>
      </c>
      <c r="E265" s="1">
        <v>80.0</v>
      </c>
      <c r="F265" s="1">
        <v>15.0</v>
      </c>
      <c r="H265" s="1">
        <v>240110.080053547</v>
      </c>
      <c r="I265" s="1">
        <v>7.94962620735168</v>
      </c>
      <c r="J265" s="1">
        <v>350293.0</v>
      </c>
      <c r="K265" s="1">
        <v>309370.999999999</v>
      </c>
      <c r="L265" s="1">
        <v>309370.999999999</v>
      </c>
      <c r="M265" s="1">
        <v>2806.08542656898</v>
      </c>
      <c r="N265" s="1">
        <v>124861.0</v>
      </c>
      <c r="O265" s="5">
        <f t="shared" si="25"/>
        <v>0</v>
      </c>
      <c r="Q265" s="1">
        <v>240316.753547706</v>
      </c>
      <c r="S265" s="1">
        <v>59.9558835029602</v>
      </c>
      <c r="U265" s="1">
        <v>84871.0008415192</v>
      </c>
      <c r="V265" s="1">
        <v>6.48804903030395</v>
      </c>
      <c r="X265" s="1">
        <v>237492.276419583</v>
      </c>
      <c r="Y265" s="1">
        <v>21.1676523685455</v>
      </c>
      <c r="Z265" s="1"/>
    </row>
    <row r="266">
      <c r="D266" s="1" t="s">
        <v>28</v>
      </c>
      <c r="E266" s="1">
        <v>80.0</v>
      </c>
      <c r="F266" s="1">
        <v>15.0</v>
      </c>
      <c r="H266" s="1">
        <v>233898.248309494</v>
      </c>
      <c r="I266" s="1">
        <v>7.97617030143737</v>
      </c>
      <c r="J266" s="1">
        <v>351628.999999999</v>
      </c>
      <c r="K266" s="1">
        <v>300719.0</v>
      </c>
      <c r="L266" s="1">
        <v>299498.043539903</v>
      </c>
      <c r="M266" s="7">
        <v>3600.02294301986</v>
      </c>
      <c r="N266" s="1">
        <v>127513.0</v>
      </c>
      <c r="O266" s="5">
        <f t="shared" si="25"/>
        <v>0.4060124103</v>
      </c>
      <c r="Q266" s="1">
        <v>234072.194894926</v>
      </c>
      <c r="S266" s="1">
        <v>48.55766415596</v>
      </c>
      <c r="U266" s="1">
        <v>85186.1670191564</v>
      </c>
      <c r="V266" s="1">
        <v>5.7248899936676</v>
      </c>
      <c r="X266" s="1">
        <v>231981.666811118</v>
      </c>
      <c r="Y266" s="1">
        <v>19.2648952007293</v>
      </c>
      <c r="Z266" s="1"/>
    </row>
    <row r="267">
      <c r="D267" s="1" t="s">
        <v>29</v>
      </c>
      <c r="E267" s="1">
        <v>80.0</v>
      </c>
      <c r="F267" s="1">
        <v>15.0</v>
      </c>
      <c r="H267" s="1">
        <v>235089.408636438</v>
      </c>
      <c r="I267" s="1">
        <v>7.96964168548584</v>
      </c>
      <c r="J267" s="1">
        <v>364174.0</v>
      </c>
      <c r="K267" s="1">
        <v>308429.0</v>
      </c>
      <c r="L267" s="1">
        <v>307429.101850877</v>
      </c>
      <c r="M267" s="7">
        <v>3600.01263666152</v>
      </c>
      <c r="N267" s="1">
        <v>130525.0</v>
      </c>
      <c r="O267" s="5">
        <f t="shared" si="25"/>
        <v>0.3241907049</v>
      </c>
      <c r="Q267" s="1">
        <v>235292.823482065</v>
      </c>
      <c r="S267" s="1">
        <v>65.1473639011383</v>
      </c>
      <c r="U267" s="1">
        <v>84087.0007559606</v>
      </c>
      <c r="V267" s="1">
        <v>6.20071721076965</v>
      </c>
      <c r="X267" s="1">
        <v>232476.447581897</v>
      </c>
      <c r="Y267" s="1">
        <v>23.7284407615661</v>
      </c>
      <c r="Z267" s="1"/>
    </row>
    <row r="268">
      <c r="D268" s="1" t="s">
        <v>30</v>
      </c>
      <c r="E268" s="1">
        <v>80.0</v>
      </c>
      <c r="F268" s="1">
        <v>15.0</v>
      </c>
      <c r="H268" s="1">
        <v>250300.559110878</v>
      </c>
      <c r="I268" s="1">
        <v>7.98258018493652</v>
      </c>
      <c r="J268" s="1">
        <v>375368.0</v>
      </c>
      <c r="K268" s="1">
        <v>330439.0</v>
      </c>
      <c r="L268" s="1">
        <v>327060.911689896</v>
      </c>
      <c r="M268" s="1">
        <v>3600.00186157226</v>
      </c>
      <c r="N268" s="1">
        <v>147561.0</v>
      </c>
      <c r="O268" s="5">
        <f t="shared" si="25"/>
        <v>1.022303151</v>
      </c>
      <c r="Q268" s="1">
        <v>250495.60785255</v>
      </c>
      <c r="S268" s="1">
        <v>66.6390650272369</v>
      </c>
      <c r="U268" s="1">
        <v>85123.0042281178</v>
      </c>
      <c r="V268" s="1">
        <v>5.55997538566589</v>
      </c>
      <c r="X268" s="1">
        <v>248232.636231083</v>
      </c>
      <c r="Y268" s="1">
        <v>24.3215768337249</v>
      </c>
      <c r="Z268" s="1"/>
    </row>
    <row r="269">
      <c r="D269" s="1" t="s">
        <v>31</v>
      </c>
      <c r="E269" s="1">
        <v>80.0</v>
      </c>
      <c r="F269" s="1">
        <v>15.0</v>
      </c>
      <c r="H269" s="1">
        <v>239259.279161022</v>
      </c>
      <c r="I269" s="1">
        <v>7.96759581565856</v>
      </c>
      <c r="J269" s="1">
        <v>329080.0</v>
      </c>
      <c r="K269" s="1">
        <v>307331.0</v>
      </c>
      <c r="L269" s="1">
        <v>307331.0</v>
      </c>
      <c r="M269" s="1">
        <v>305.011192798614</v>
      </c>
      <c r="N269" s="1">
        <v>21879.0</v>
      </c>
      <c r="O269" s="5">
        <f t="shared" si="25"/>
        <v>0</v>
      </c>
      <c r="Q269" s="1">
        <v>239438.814214694</v>
      </c>
      <c r="S269" s="1">
        <v>78.731850862503</v>
      </c>
      <c r="U269" s="1">
        <v>85062.9740712326</v>
      </c>
      <c r="V269" s="1">
        <v>5.74070954322814</v>
      </c>
      <c r="X269" s="1">
        <v>235489.620256006</v>
      </c>
      <c r="Y269" s="1">
        <v>10.8092520236969</v>
      </c>
      <c r="Z269" s="1"/>
    </row>
    <row r="270">
      <c r="D270" s="1" t="s">
        <v>32</v>
      </c>
      <c r="E270" s="1">
        <v>80.0</v>
      </c>
      <c r="F270" s="1">
        <v>15.0</v>
      </c>
      <c r="H270" s="1">
        <v>249134.260176026</v>
      </c>
      <c r="I270" s="1">
        <v>7.98286366462707</v>
      </c>
      <c r="J270" s="1">
        <v>355483.0</v>
      </c>
      <c r="K270" s="1">
        <v>317713.0</v>
      </c>
      <c r="L270" s="1">
        <v>316816.006897992</v>
      </c>
      <c r="M270" s="1">
        <v>3600.05721902847</v>
      </c>
      <c r="N270" s="1">
        <v>156493.0</v>
      </c>
      <c r="O270" s="5">
        <f t="shared" si="25"/>
        <v>0.2823281081</v>
      </c>
      <c r="Q270" s="1">
        <v>249336.105018934</v>
      </c>
      <c r="S270" s="1">
        <v>70.7819366455078</v>
      </c>
      <c r="U270" s="1">
        <v>86654.0094168564</v>
      </c>
      <c r="V270" s="1">
        <v>7.12807083129882</v>
      </c>
      <c r="X270" s="1">
        <v>246235.994971369</v>
      </c>
      <c r="Y270" s="1">
        <v>21.6394662857055</v>
      </c>
      <c r="Z270" s="1"/>
    </row>
    <row r="271">
      <c r="D271" s="1" t="s">
        <v>33</v>
      </c>
      <c r="E271" s="1">
        <v>80.0</v>
      </c>
      <c r="F271" s="1">
        <v>15.0</v>
      </c>
      <c r="H271" s="1">
        <v>252085.620979192</v>
      </c>
      <c r="I271" s="1">
        <v>8.00282216072082</v>
      </c>
      <c r="J271" s="1">
        <v>399135.999999999</v>
      </c>
      <c r="K271" s="1">
        <v>337902.0</v>
      </c>
      <c r="L271" s="1">
        <v>335471.632581643</v>
      </c>
      <c r="M271" s="1">
        <v>3600.00238370895</v>
      </c>
      <c r="N271" s="1">
        <v>150081.0</v>
      </c>
      <c r="O271" s="5">
        <f t="shared" si="25"/>
        <v>0.7192521555</v>
      </c>
      <c r="Q271" s="1">
        <v>252291.204430853</v>
      </c>
      <c r="S271" s="1">
        <v>53.6372988224029</v>
      </c>
      <c r="U271" s="1">
        <v>86600.0020437458</v>
      </c>
      <c r="V271" s="1">
        <v>5.76225328445434</v>
      </c>
      <c r="X271" s="1">
        <v>250191.208270725</v>
      </c>
      <c r="Y271" s="1">
        <v>28.2071750164032</v>
      </c>
      <c r="Z271" s="1"/>
    </row>
    <row r="272">
      <c r="D272" s="1" t="s">
        <v>34</v>
      </c>
      <c r="E272" s="1">
        <v>80.0</v>
      </c>
      <c r="F272" s="1">
        <v>15.0</v>
      </c>
      <c r="H272" s="1">
        <v>236381.43387899</v>
      </c>
      <c r="I272" s="1">
        <v>7.97048711776733</v>
      </c>
      <c r="J272" s="1">
        <v>375320.0</v>
      </c>
      <c r="K272" s="1">
        <v>314570.0</v>
      </c>
      <c r="L272" s="1">
        <v>313807.248324276</v>
      </c>
      <c r="M272" s="1">
        <v>3600.02050948143</v>
      </c>
      <c r="N272" s="1">
        <v>156947.0</v>
      </c>
      <c r="O272" s="5">
        <f t="shared" si="25"/>
        <v>0.2424743859</v>
      </c>
      <c r="Q272" s="1">
        <v>236577.861096696</v>
      </c>
      <c r="S272" s="1">
        <v>43.4263551235199</v>
      </c>
      <c r="U272" s="1">
        <v>85023.9023397412</v>
      </c>
      <c r="V272" s="1">
        <v>5.55983996391296</v>
      </c>
      <c r="X272" s="1">
        <v>235197.297240852</v>
      </c>
      <c r="Y272" s="1">
        <v>15.1536090373992</v>
      </c>
      <c r="Z272" s="1"/>
    </row>
    <row r="273">
      <c r="D273" s="1" t="s">
        <v>35</v>
      </c>
      <c r="E273" s="1">
        <v>80.0</v>
      </c>
      <c r="F273" s="1">
        <v>15.0</v>
      </c>
      <c r="H273" s="1">
        <v>233250.361097602</v>
      </c>
      <c r="I273" s="1">
        <v>7.96800827980041</v>
      </c>
      <c r="J273" s="1">
        <v>339542.0</v>
      </c>
      <c r="K273" s="1">
        <v>301804.999999999</v>
      </c>
      <c r="L273" s="1">
        <v>301506.583268273</v>
      </c>
      <c r="M273" s="1">
        <v>3600.01209855079</v>
      </c>
      <c r="N273" s="1">
        <v>160441.0</v>
      </c>
      <c r="O273" s="5">
        <f t="shared" si="25"/>
        <v>0.09887733196</v>
      </c>
      <c r="Q273" s="1">
        <v>233423.945735092</v>
      </c>
      <c r="S273" s="1">
        <v>40.3700969219207</v>
      </c>
      <c r="U273" s="1">
        <v>82407.0497721564</v>
      </c>
      <c r="V273" s="1">
        <v>5.81137943267822</v>
      </c>
      <c r="X273" s="1">
        <v>230289.400751866</v>
      </c>
      <c r="Y273" s="1">
        <v>14.2561421394348</v>
      </c>
      <c r="Z273" s="1"/>
    </row>
    <row r="274">
      <c r="D274" s="1" t="s">
        <v>36</v>
      </c>
      <c r="E274" s="1">
        <v>80.0</v>
      </c>
      <c r="F274" s="1">
        <v>15.0</v>
      </c>
      <c r="H274" s="1">
        <v>242192.914542492</v>
      </c>
      <c r="I274" s="1">
        <v>8.01229357719421</v>
      </c>
      <c r="J274" s="1">
        <v>336163.0</v>
      </c>
      <c r="K274" s="1">
        <v>287979.0</v>
      </c>
      <c r="L274" s="1">
        <v>287979.0</v>
      </c>
      <c r="M274" s="1">
        <v>125.006062030792</v>
      </c>
      <c r="N274" s="1">
        <v>8847.0</v>
      </c>
      <c r="O274" s="5">
        <f t="shared" si="25"/>
        <v>0</v>
      </c>
      <c r="Q274" s="1">
        <v>242380.20138753</v>
      </c>
      <c r="S274" s="1">
        <v>66.3539428710937</v>
      </c>
      <c r="U274" s="1">
        <v>87619.6334356543</v>
      </c>
      <c r="V274" s="1">
        <v>14.9444651603698</v>
      </c>
      <c r="X274" s="1">
        <v>239308.734132923</v>
      </c>
      <c r="Y274" s="1">
        <v>21.6961278915405</v>
      </c>
      <c r="Z274" s="1"/>
    </row>
    <row r="275">
      <c r="D275" s="1" t="s">
        <v>37</v>
      </c>
      <c r="E275" s="1">
        <v>80.0</v>
      </c>
      <c r="F275" s="1">
        <v>15.0</v>
      </c>
      <c r="H275" s="1">
        <v>250318.328038608</v>
      </c>
      <c r="I275" s="1">
        <v>8.0636179447174</v>
      </c>
      <c r="J275" s="1">
        <v>317728.0</v>
      </c>
      <c r="K275" s="1">
        <v>294030.0</v>
      </c>
      <c r="L275" s="1">
        <v>294030.0</v>
      </c>
      <c r="M275" s="1">
        <v>90.6280767917633</v>
      </c>
      <c r="N275" s="1">
        <v>6227.0</v>
      </c>
      <c r="O275" s="5">
        <f t="shared" si="25"/>
        <v>0</v>
      </c>
      <c r="Q275" s="1">
        <v>250540.27638044</v>
      </c>
      <c r="S275" s="1">
        <v>65.9303836822509</v>
      </c>
      <c r="U275" s="1">
        <v>87512.0036073573</v>
      </c>
      <c r="V275" s="1">
        <v>5.65848469734191</v>
      </c>
      <c r="X275" s="1">
        <v>246610.875561553</v>
      </c>
      <c r="Y275" s="1">
        <v>19.3607895374298</v>
      </c>
      <c r="Z275" s="1"/>
    </row>
    <row r="276">
      <c r="D276" s="1" t="s">
        <v>38</v>
      </c>
      <c r="E276" s="1">
        <v>80.0</v>
      </c>
      <c r="F276" s="1">
        <v>15.0</v>
      </c>
      <c r="H276" s="1">
        <v>225961.504784692</v>
      </c>
      <c r="I276" s="1">
        <v>8.08338642120361</v>
      </c>
      <c r="J276" s="1">
        <v>349787.0</v>
      </c>
      <c r="K276" s="1">
        <v>295234.0</v>
      </c>
      <c r="L276" s="1">
        <v>294837.821045924</v>
      </c>
      <c r="M276" s="7">
        <v>3600.05193638801</v>
      </c>
      <c r="N276" s="1">
        <v>132445.0</v>
      </c>
      <c r="O276" s="5">
        <f t="shared" si="25"/>
        <v>0.1341915071</v>
      </c>
      <c r="Q276" s="1">
        <v>226137.899385383</v>
      </c>
      <c r="S276" s="1">
        <v>66.1310794353485</v>
      </c>
      <c r="U276" s="1">
        <v>82644.6477883237</v>
      </c>
      <c r="V276" s="1">
        <v>5.38118338584899</v>
      </c>
      <c r="X276" s="1">
        <v>224047.481006688</v>
      </c>
      <c r="Y276" s="1">
        <v>24.8088083267211</v>
      </c>
      <c r="Z276" s="1"/>
    </row>
    <row r="277">
      <c r="D277" s="1" t="s">
        <v>39</v>
      </c>
      <c r="E277" s="1">
        <v>80.0</v>
      </c>
      <c r="F277" s="1">
        <v>15.0</v>
      </c>
      <c r="H277" s="1">
        <v>236621.034125073</v>
      </c>
      <c r="I277" s="1">
        <v>7.97859358787536</v>
      </c>
      <c r="J277" s="1">
        <v>338355.0</v>
      </c>
      <c r="K277" s="1">
        <v>305721.0</v>
      </c>
      <c r="L277" s="1">
        <v>305721.0</v>
      </c>
      <c r="M277" s="1">
        <v>1163.99425315856</v>
      </c>
      <c r="N277" s="1">
        <v>69077.0</v>
      </c>
      <c r="O277" s="5">
        <f t="shared" si="25"/>
        <v>0</v>
      </c>
      <c r="Q277" s="1">
        <v>236812.864471503</v>
      </c>
      <c r="S277" s="1">
        <v>59.4542157649993</v>
      </c>
      <c r="U277" s="1">
        <v>83281.2927554481</v>
      </c>
      <c r="V277" s="1">
        <v>5.92835354804992</v>
      </c>
      <c r="X277" s="1">
        <v>230801.813151042</v>
      </c>
      <c r="Y277" s="1">
        <v>11.899020910263</v>
      </c>
      <c r="Z277" s="1"/>
    </row>
    <row r="278">
      <c r="D278" s="1" t="s">
        <v>40</v>
      </c>
      <c r="E278" s="1">
        <v>80.0</v>
      </c>
      <c r="F278" s="1">
        <v>15.0</v>
      </c>
      <c r="H278" s="1">
        <v>245618.128091823</v>
      </c>
      <c r="I278" s="1">
        <v>7.97445201873779</v>
      </c>
      <c r="J278" s="1">
        <v>347950.0</v>
      </c>
      <c r="K278" s="1">
        <v>302310.999999999</v>
      </c>
      <c r="L278" s="1">
        <v>302310.999999999</v>
      </c>
      <c r="M278" s="1">
        <v>1059.56133675575</v>
      </c>
      <c r="N278" s="1">
        <v>62583.0</v>
      </c>
      <c r="O278" s="5">
        <f t="shared" si="25"/>
        <v>0</v>
      </c>
      <c r="Q278" s="1">
        <v>245810.779295349</v>
      </c>
      <c r="S278" s="1">
        <v>67.2132813930511</v>
      </c>
      <c r="U278" s="1">
        <v>87540.2799139315</v>
      </c>
      <c r="V278" s="1">
        <v>5.53976488113403</v>
      </c>
      <c r="X278" s="1">
        <v>244007.387006052</v>
      </c>
      <c r="Y278" s="1">
        <v>19.926869392395</v>
      </c>
      <c r="Z278" s="1"/>
    </row>
    <row r="279">
      <c r="D279" s="1" t="s">
        <v>41</v>
      </c>
      <c r="E279" s="1">
        <v>80.0</v>
      </c>
      <c r="F279" s="1">
        <v>15.0</v>
      </c>
      <c r="H279" s="1">
        <v>238100.496756804</v>
      </c>
      <c r="I279" s="1">
        <v>8.02686190605163</v>
      </c>
      <c r="J279" s="1">
        <v>358688.0</v>
      </c>
      <c r="K279" s="1">
        <v>296723.0</v>
      </c>
      <c r="L279" s="1">
        <v>296723.0</v>
      </c>
      <c r="M279" s="1">
        <v>315.195122718811</v>
      </c>
      <c r="N279" s="1">
        <v>21673.0</v>
      </c>
      <c r="O279" s="5">
        <f t="shared" si="25"/>
        <v>0</v>
      </c>
      <c r="Q279" s="1">
        <v>238281.89202969</v>
      </c>
      <c r="S279" s="1">
        <v>48.316505908966</v>
      </c>
      <c r="U279" s="1">
        <v>85944.4343648076</v>
      </c>
      <c r="V279" s="1">
        <v>9.3742880821228</v>
      </c>
      <c r="X279" s="1">
        <v>236682.939069457</v>
      </c>
      <c r="Y279" s="1">
        <v>16.479728937149</v>
      </c>
      <c r="Z279" s="1"/>
    </row>
    <row r="280">
      <c r="D280" s="1" t="s">
        <v>42</v>
      </c>
      <c r="E280" s="1">
        <v>80.0</v>
      </c>
      <c r="F280" s="1">
        <v>15.0</v>
      </c>
      <c r="H280" s="1">
        <v>236099.913041157</v>
      </c>
      <c r="I280" s="1">
        <v>7.98730325698852</v>
      </c>
      <c r="J280" s="1">
        <v>337654.0</v>
      </c>
      <c r="K280" s="1">
        <v>298947.0</v>
      </c>
      <c r="L280" s="1">
        <v>296852.244860603</v>
      </c>
      <c r="M280" s="1">
        <v>3600.01835346221</v>
      </c>
      <c r="N280" s="1">
        <v>148243.0</v>
      </c>
      <c r="O280" s="5">
        <f t="shared" si="25"/>
        <v>0.7007112095</v>
      </c>
      <c r="Q280" s="1">
        <v>236283.95951499</v>
      </c>
      <c r="S280" s="1">
        <v>42.0633265972137</v>
      </c>
      <c r="U280" s="1">
        <v>85812.8686149035</v>
      </c>
      <c r="V280" s="1">
        <v>5.39137458801269</v>
      </c>
      <c r="X280" s="1">
        <v>234507.169314223</v>
      </c>
      <c r="Y280" s="1">
        <v>18.8938961029052</v>
      </c>
      <c r="Z280" s="1"/>
    </row>
    <row r="281">
      <c r="D281" s="1" t="s">
        <v>43</v>
      </c>
      <c r="E281" s="1">
        <v>80.0</v>
      </c>
      <c r="F281" s="1">
        <v>15.0</v>
      </c>
      <c r="H281" s="1">
        <v>246633.263271979</v>
      </c>
      <c r="I281" s="1">
        <v>8.08262205123901</v>
      </c>
      <c r="J281" s="1">
        <v>368411.0</v>
      </c>
      <c r="K281" s="1">
        <v>324922.0</v>
      </c>
      <c r="L281" s="1">
        <v>324214.711488601</v>
      </c>
      <c r="M281" s="1">
        <v>3600.0540664196</v>
      </c>
      <c r="N281" s="1">
        <v>159321.0</v>
      </c>
      <c r="O281" s="5">
        <f t="shared" si="25"/>
        <v>0.2176794774</v>
      </c>
      <c r="Q281" s="1">
        <v>246832.575538894</v>
      </c>
      <c r="S281" s="1">
        <v>65.0579707622528</v>
      </c>
      <c r="U281" s="1">
        <v>87379.9424286982</v>
      </c>
      <c r="V281" s="1">
        <v>6.05562281608581</v>
      </c>
      <c r="X281" s="1">
        <v>242889.605001347</v>
      </c>
      <c r="Y281" s="1">
        <v>15.9337759017944</v>
      </c>
      <c r="Z281" s="1"/>
    </row>
    <row r="282">
      <c r="D282" s="1" t="s">
        <v>44</v>
      </c>
      <c r="E282" s="1">
        <v>80.0</v>
      </c>
      <c r="F282" s="1">
        <v>15.0</v>
      </c>
      <c r="H282" s="1">
        <v>235345.632621713</v>
      </c>
      <c r="I282" s="1">
        <v>8.00896692276001</v>
      </c>
      <c r="J282" s="1">
        <v>337390.999999999</v>
      </c>
      <c r="K282" s="1">
        <v>292175.0</v>
      </c>
      <c r="L282" s="1">
        <v>292175.0</v>
      </c>
      <c r="M282" s="1">
        <v>597.4344124794</v>
      </c>
      <c r="N282" s="1">
        <v>38919.0</v>
      </c>
      <c r="O282" s="5">
        <f t="shared" si="25"/>
        <v>0</v>
      </c>
      <c r="Q282" s="1">
        <v>235519.145793559</v>
      </c>
      <c r="S282" s="1">
        <v>54.9133405685424</v>
      </c>
      <c r="U282" s="1">
        <v>87698.0166566932</v>
      </c>
      <c r="V282" s="1">
        <v>5.0593774318695</v>
      </c>
      <c r="X282" s="1">
        <v>233212.843854919</v>
      </c>
      <c r="Y282" s="1">
        <v>14.3956246376037</v>
      </c>
      <c r="Z282" s="1"/>
    </row>
    <row r="283">
      <c r="D283" s="1" t="s">
        <v>45</v>
      </c>
      <c r="E283" s="1">
        <v>80.0</v>
      </c>
      <c r="F283" s="1">
        <v>15.0</v>
      </c>
      <c r="H283" s="1">
        <v>240588.940592777</v>
      </c>
      <c r="I283" s="1">
        <v>8.03280544281005</v>
      </c>
      <c r="J283" s="1">
        <v>366177.0</v>
      </c>
      <c r="K283" s="1">
        <v>306444.0</v>
      </c>
      <c r="L283" s="1">
        <v>306444.0</v>
      </c>
      <c r="M283" s="1">
        <v>839.195167779922</v>
      </c>
      <c r="N283" s="1">
        <v>53043.0</v>
      </c>
      <c r="O283" s="5">
        <f t="shared" si="25"/>
        <v>0</v>
      </c>
      <c r="Q283" s="1">
        <v>240770.340999763</v>
      </c>
      <c r="S283" s="1">
        <v>67.4186518192291</v>
      </c>
      <c r="U283" s="1">
        <v>88664.004683151</v>
      </c>
      <c r="V283" s="1">
        <v>5.39218282699585</v>
      </c>
      <c r="X283" s="1">
        <v>237302.578268645</v>
      </c>
      <c r="Y283" s="1">
        <v>13.5122869014739</v>
      </c>
      <c r="Z283" s="1"/>
    </row>
    <row r="284">
      <c r="D284" s="1"/>
      <c r="E284" s="6">
        <f t="shared" ref="E284:F284" si="26">AVERAGE(E254:E283)</f>
        <v>80</v>
      </c>
      <c r="F284" s="6">
        <f t="shared" si="26"/>
        <v>15</v>
      </c>
      <c r="H284" s="6">
        <f t="shared" ref="H284:O284" si="27">AVERAGE(H254:H283)</f>
        <v>239166.8733</v>
      </c>
      <c r="I284" s="6">
        <f t="shared" si="27"/>
        <v>7.993244735</v>
      </c>
      <c r="J284" s="6">
        <f t="shared" si="27"/>
        <v>352792.9667</v>
      </c>
      <c r="K284" s="6">
        <f t="shared" si="27"/>
        <v>306580.8333</v>
      </c>
      <c r="L284" s="6">
        <f t="shared" si="27"/>
        <v>305843.469</v>
      </c>
      <c r="M284" s="6">
        <f t="shared" si="27"/>
        <v>2095.229088</v>
      </c>
      <c r="N284" s="6">
        <f t="shared" si="27"/>
        <v>93508.93333</v>
      </c>
      <c r="O284" s="6">
        <f t="shared" si="27"/>
        <v>0.2320059375</v>
      </c>
      <c r="Q284" s="6">
        <f>AVERAGE(Q254:Q283)</f>
        <v>239355.9083</v>
      </c>
      <c r="S284" s="6">
        <f>AVERAGE(S254:S283)</f>
        <v>61.24157513</v>
      </c>
    </row>
    <row r="285">
      <c r="D285" s="1" t="s">
        <v>16</v>
      </c>
      <c r="E285" s="1">
        <v>80.0</v>
      </c>
      <c r="F285" s="1">
        <v>20.0</v>
      </c>
      <c r="H285" s="1">
        <v>383948.719062545</v>
      </c>
      <c r="I285" s="1">
        <v>8.16335201263427</v>
      </c>
      <c r="J285" s="1">
        <v>437894.0</v>
      </c>
      <c r="K285" s="1">
        <v>434884.0</v>
      </c>
      <c r="L285" s="1">
        <v>434884.0</v>
      </c>
      <c r="M285" s="1">
        <v>347.896770238876</v>
      </c>
      <c r="N285" s="1">
        <v>25813.0</v>
      </c>
      <c r="O285" s="5">
        <f t="shared" ref="O285:O314" si="28">100*(K285-L285)/K285</f>
        <v>0</v>
      </c>
      <c r="Q285" s="1">
        <v>384206.074901886</v>
      </c>
      <c r="S285" s="1">
        <v>99.9450721740722</v>
      </c>
      <c r="U285" s="1">
        <v>90011.0090170508</v>
      </c>
      <c r="V285" s="1">
        <v>5.45846557617187</v>
      </c>
      <c r="X285" s="1">
        <v>378299.23332136</v>
      </c>
      <c r="Y285" s="1">
        <v>21.8819739818573</v>
      </c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D286" s="1" t="s">
        <v>17</v>
      </c>
      <c r="E286" s="1">
        <v>80.0</v>
      </c>
      <c r="F286" s="1">
        <v>20.0</v>
      </c>
      <c r="H286" s="1">
        <v>402043.207100266</v>
      </c>
      <c r="I286" s="1">
        <v>8.18360877037048</v>
      </c>
      <c r="J286" s="1">
        <v>511363.999999999</v>
      </c>
      <c r="K286" s="1">
        <v>473211.0</v>
      </c>
      <c r="L286" s="1">
        <v>473211.0</v>
      </c>
      <c r="M286" s="1">
        <v>178.349801778793</v>
      </c>
      <c r="N286" s="1">
        <v>14245.0</v>
      </c>
      <c r="O286" s="5">
        <f t="shared" si="28"/>
        <v>0</v>
      </c>
      <c r="Q286" s="1">
        <v>402258.376922479</v>
      </c>
      <c r="S286" s="1">
        <v>61.7459669113159</v>
      </c>
      <c r="U286" s="1">
        <v>90623.9958132675</v>
      </c>
      <c r="V286" s="1">
        <v>5.74732613563537</v>
      </c>
      <c r="X286" s="1">
        <v>396718.577241587</v>
      </c>
      <c r="Y286" s="1">
        <v>14.9761271476745</v>
      </c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D287" s="1" t="s">
        <v>18</v>
      </c>
      <c r="E287" s="1">
        <v>80.0</v>
      </c>
      <c r="F287" s="1">
        <v>20.0</v>
      </c>
      <c r="H287" s="1">
        <v>369455.593282555</v>
      </c>
      <c r="I287" s="1">
        <v>8.1282422542572</v>
      </c>
      <c r="J287" s="1">
        <v>433635.0</v>
      </c>
      <c r="K287" s="1">
        <v>425250.0</v>
      </c>
      <c r="L287" s="1">
        <v>425250.0</v>
      </c>
      <c r="M287" s="1">
        <v>233.4470205307</v>
      </c>
      <c r="N287" s="1">
        <v>17761.0</v>
      </c>
      <c r="O287" s="5">
        <f t="shared" si="28"/>
        <v>0</v>
      </c>
      <c r="Q287" s="1">
        <v>369650.854400011</v>
      </c>
      <c r="S287" s="1">
        <v>44.3295640945434</v>
      </c>
      <c r="U287" s="1">
        <v>90019.1669225811</v>
      </c>
      <c r="V287" s="1">
        <v>53.9994456768035</v>
      </c>
      <c r="X287" s="1">
        <v>364273.959392443</v>
      </c>
      <c r="Y287" s="1">
        <v>13.4200479984283</v>
      </c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D288" s="1" t="s">
        <v>19</v>
      </c>
      <c r="E288" s="1">
        <v>80.0</v>
      </c>
      <c r="F288" s="1">
        <v>20.0</v>
      </c>
      <c r="H288" s="1">
        <v>404524.902668575</v>
      </c>
      <c r="I288" s="1">
        <v>8.16092181205749</v>
      </c>
      <c r="J288" s="1">
        <v>517647.0</v>
      </c>
      <c r="K288" s="1">
        <v>460980.0</v>
      </c>
      <c r="L288" s="1">
        <v>460980.0</v>
      </c>
      <c r="M288" s="1">
        <v>43.1982715129852</v>
      </c>
      <c r="N288" s="1">
        <v>3017.0</v>
      </c>
      <c r="O288" s="5">
        <f t="shared" si="28"/>
        <v>0</v>
      </c>
      <c r="Q288" s="1">
        <v>404772.246056032</v>
      </c>
      <c r="S288" s="1">
        <v>54.2631733417511</v>
      </c>
      <c r="U288" s="1">
        <v>91036.0023660561</v>
      </c>
      <c r="V288" s="1">
        <v>5.3300142288208</v>
      </c>
      <c r="X288" s="1">
        <v>401385.010124118</v>
      </c>
      <c r="Y288" s="1">
        <v>25.5840950012207</v>
      </c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D289" s="1" t="s">
        <v>20</v>
      </c>
      <c r="E289" s="1">
        <v>80.0</v>
      </c>
      <c r="F289" s="1">
        <v>20.0</v>
      </c>
      <c r="H289" s="1">
        <v>413869.444946841</v>
      </c>
      <c r="I289" s="1">
        <v>8.13160920143127</v>
      </c>
      <c r="J289" s="1">
        <v>528064.0</v>
      </c>
      <c r="K289" s="1">
        <v>463974.999999999</v>
      </c>
      <c r="L289" s="1">
        <v>463974.999999999</v>
      </c>
      <c r="M289" s="1">
        <v>199.242890119552</v>
      </c>
      <c r="N289" s="1">
        <v>13863.0</v>
      </c>
      <c r="O289" s="5">
        <f t="shared" si="28"/>
        <v>0</v>
      </c>
      <c r="Q289" s="1">
        <v>414171.67696717</v>
      </c>
      <c r="S289" s="1">
        <v>65.6431701183319</v>
      </c>
      <c r="U289" s="1">
        <v>93218.0033167764</v>
      </c>
      <c r="V289" s="1">
        <v>5.40176320075988</v>
      </c>
      <c r="X289" s="1">
        <v>405098.736112125</v>
      </c>
      <c r="Y289" s="1">
        <v>26.1152429580688</v>
      </c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D290" s="1" t="s">
        <v>21</v>
      </c>
      <c r="E290" s="1">
        <v>80.0</v>
      </c>
      <c r="F290" s="1">
        <v>20.0</v>
      </c>
      <c r="H290" s="1">
        <v>385556.381350282</v>
      </c>
      <c r="I290" s="1">
        <v>8.15504026412963</v>
      </c>
      <c r="J290" s="1">
        <v>447269.0</v>
      </c>
      <c r="K290" s="1">
        <v>445155.999999999</v>
      </c>
      <c r="L290" s="1">
        <v>445155.999999999</v>
      </c>
      <c r="M290" s="1">
        <v>359.070105552673</v>
      </c>
      <c r="N290" s="1">
        <v>27029.0</v>
      </c>
      <c r="O290" s="5">
        <f t="shared" si="28"/>
        <v>0</v>
      </c>
      <c r="Q290" s="1">
        <v>385803.896861959</v>
      </c>
      <c r="S290" s="1">
        <v>92.1586554050445</v>
      </c>
      <c r="U290" s="1">
        <v>92287.9992275477</v>
      </c>
      <c r="V290" s="1">
        <v>5.97077393531799</v>
      </c>
      <c r="X290" s="1">
        <v>379706.865938192</v>
      </c>
      <c r="Y290" s="1">
        <v>20.3319501876831</v>
      </c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D291" s="1" t="s">
        <v>22</v>
      </c>
      <c r="E291" s="1">
        <v>80.0</v>
      </c>
      <c r="F291" s="1">
        <v>20.0</v>
      </c>
      <c r="H291" s="1">
        <v>407521.276355117</v>
      </c>
      <c r="I291" s="1">
        <v>8.16408276557922</v>
      </c>
      <c r="J291" s="1">
        <v>532083.0</v>
      </c>
      <c r="K291" s="1">
        <v>495655.0</v>
      </c>
      <c r="L291" s="1">
        <v>495655.0</v>
      </c>
      <c r="M291" s="1">
        <v>1210.35843944549</v>
      </c>
      <c r="N291" s="1">
        <v>74615.0</v>
      </c>
      <c r="O291" s="5">
        <f t="shared" si="28"/>
        <v>0</v>
      </c>
      <c r="Q291" s="1">
        <v>407710.200067924</v>
      </c>
      <c r="S291" s="1">
        <v>49.3295996189117</v>
      </c>
      <c r="U291" s="1">
        <v>92467.9981088608</v>
      </c>
      <c r="V291" s="1">
        <v>6.24025964736938</v>
      </c>
      <c r="X291" s="1">
        <v>404331.646664213</v>
      </c>
      <c r="Y291" s="1">
        <v>12.4748954772949</v>
      </c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D292" s="1" t="s">
        <v>23</v>
      </c>
      <c r="E292" s="1">
        <v>80.0</v>
      </c>
      <c r="F292" s="1">
        <v>20.0</v>
      </c>
      <c r="H292" s="1">
        <v>409952.863354037</v>
      </c>
      <c r="I292" s="1">
        <v>8.12787818908691</v>
      </c>
      <c r="J292" s="1">
        <v>607616.0</v>
      </c>
      <c r="K292" s="1">
        <v>490956.0</v>
      </c>
      <c r="L292" s="1">
        <v>490956.0</v>
      </c>
      <c r="M292" s="1">
        <v>1518.44640374183</v>
      </c>
      <c r="N292" s="1">
        <v>86383.0</v>
      </c>
      <c r="O292" s="5">
        <f t="shared" si="28"/>
        <v>0</v>
      </c>
      <c r="Q292" s="1">
        <v>410200.185397761</v>
      </c>
      <c r="S292" s="1">
        <v>62.4578130245208</v>
      </c>
      <c r="U292" s="1">
        <v>91038.995420696</v>
      </c>
      <c r="V292" s="1">
        <v>6.98000931739807</v>
      </c>
      <c r="X292" s="1">
        <v>404124.878657907</v>
      </c>
      <c r="Y292" s="1">
        <v>25.9011318683624</v>
      </c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D293" s="1" t="s">
        <v>24</v>
      </c>
      <c r="E293" s="1">
        <v>80.0</v>
      </c>
      <c r="F293" s="1">
        <v>20.0</v>
      </c>
      <c r="H293" s="1">
        <v>416214.403429409</v>
      </c>
      <c r="I293" s="1">
        <v>8.09754109382629</v>
      </c>
      <c r="J293" s="1">
        <v>495191.0</v>
      </c>
      <c r="K293" s="1">
        <v>471331.0</v>
      </c>
      <c r="L293" s="1">
        <v>471331.0</v>
      </c>
      <c r="M293" s="1">
        <v>224.239100456237</v>
      </c>
      <c r="N293" s="1">
        <v>15959.0</v>
      </c>
      <c r="O293" s="5">
        <f t="shared" si="28"/>
        <v>0</v>
      </c>
      <c r="Q293" s="1">
        <v>416440.549808531</v>
      </c>
      <c r="S293" s="1">
        <v>41.8981506824493</v>
      </c>
      <c r="U293" s="1">
        <v>90212.9685605313</v>
      </c>
      <c r="V293" s="1">
        <v>6.39258956909179</v>
      </c>
      <c r="X293" s="1">
        <v>410551.409402371</v>
      </c>
      <c r="Y293" s="1">
        <v>29.6777789592742</v>
      </c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D294" s="1" t="s">
        <v>25</v>
      </c>
      <c r="E294" s="1">
        <v>80.0</v>
      </c>
      <c r="F294" s="1">
        <v>20.0</v>
      </c>
      <c r="H294" s="1">
        <v>435208.517964006</v>
      </c>
      <c r="I294" s="1">
        <v>8.10854482650756</v>
      </c>
      <c r="J294" s="1">
        <v>597582.0</v>
      </c>
      <c r="K294" s="1">
        <v>508259.0</v>
      </c>
      <c r="L294" s="1">
        <v>508259.0</v>
      </c>
      <c r="M294" s="1">
        <v>459.308818101882</v>
      </c>
      <c r="N294" s="1">
        <v>30991.0</v>
      </c>
      <c r="O294" s="5">
        <f t="shared" si="28"/>
        <v>0</v>
      </c>
      <c r="Q294" s="1">
        <v>435499.016900193</v>
      </c>
      <c r="S294" s="1">
        <v>69.348007440567</v>
      </c>
      <c r="U294" s="1">
        <v>93227.9944031704</v>
      </c>
      <c r="V294" s="1">
        <v>6.90294766426086</v>
      </c>
      <c r="X294" s="1">
        <v>430392.508919127</v>
      </c>
      <c r="Y294" s="1">
        <v>28.7769014835357</v>
      </c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D295" s="1" t="s">
        <v>26</v>
      </c>
      <c r="E295" s="1">
        <v>80.0</v>
      </c>
      <c r="F295" s="1">
        <v>20.0</v>
      </c>
      <c r="H295" s="1">
        <v>425076.039857547</v>
      </c>
      <c r="I295" s="1">
        <v>8.15769124031066</v>
      </c>
      <c r="J295" s="1">
        <v>573859.0</v>
      </c>
      <c r="K295" s="1">
        <v>477078.0</v>
      </c>
      <c r="L295" s="1">
        <v>477078.0</v>
      </c>
      <c r="M295" s="1">
        <v>67.7513043880462</v>
      </c>
      <c r="N295" s="1">
        <v>4673.0</v>
      </c>
      <c r="O295" s="5">
        <f t="shared" si="28"/>
        <v>0</v>
      </c>
      <c r="Q295" s="1">
        <v>425335.706403229</v>
      </c>
      <c r="S295" s="1">
        <v>60.1255691051483</v>
      </c>
      <c r="U295" s="1">
        <v>93358.1118064136</v>
      </c>
      <c r="V295" s="1">
        <v>5.44246530532836</v>
      </c>
      <c r="X295" s="1">
        <v>419929.88543595</v>
      </c>
      <c r="Y295" s="1">
        <v>22.0098121166229</v>
      </c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D296" s="1" t="s">
        <v>27</v>
      </c>
      <c r="E296" s="1">
        <v>80.0</v>
      </c>
      <c r="F296" s="1">
        <v>20.0</v>
      </c>
      <c r="H296" s="1">
        <v>412256.5890404</v>
      </c>
      <c r="I296" s="1">
        <v>8.19536423683166</v>
      </c>
      <c r="J296" s="1">
        <v>531361.0</v>
      </c>
      <c r="K296" s="1">
        <v>473048.0</v>
      </c>
      <c r="L296" s="1">
        <v>473048.0</v>
      </c>
      <c r="M296" s="1">
        <v>222.020521402359</v>
      </c>
      <c r="N296" s="1">
        <v>15921.0</v>
      </c>
      <c r="O296" s="5">
        <f t="shared" si="28"/>
        <v>0</v>
      </c>
      <c r="Q296" s="1">
        <v>412481.565602238</v>
      </c>
      <c r="S296" s="1">
        <v>61.2177147865295</v>
      </c>
      <c r="U296" s="1">
        <v>89150.6870518317</v>
      </c>
      <c r="V296" s="1">
        <v>5.81877732276916</v>
      </c>
      <c r="X296" s="1">
        <v>407671.207309065</v>
      </c>
      <c r="Y296" s="1">
        <v>17.6363244056701</v>
      </c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D297" s="1" t="s">
        <v>28</v>
      </c>
      <c r="E297" s="1">
        <v>80.0</v>
      </c>
      <c r="F297" s="1">
        <v>20.0</v>
      </c>
      <c r="H297" s="1">
        <v>401824.090596428</v>
      </c>
      <c r="I297" s="1">
        <v>8.09740281105041</v>
      </c>
      <c r="J297" s="1">
        <v>538518.0</v>
      </c>
      <c r="K297" s="1">
        <v>461545.0</v>
      </c>
      <c r="L297" s="1">
        <v>461545.0</v>
      </c>
      <c r="M297" s="1">
        <v>266.883352279663</v>
      </c>
      <c r="N297" s="1">
        <v>19489.0</v>
      </c>
      <c r="O297" s="5">
        <f t="shared" si="28"/>
        <v>0</v>
      </c>
      <c r="Q297" s="1">
        <v>402056.627189918</v>
      </c>
      <c r="S297" s="1">
        <v>56.4484667778015</v>
      </c>
      <c r="U297" s="1">
        <v>91766.0029808168</v>
      </c>
      <c r="V297" s="1">
        <v>5.65022039413452</v>
      </c>
      <c r="X297" s="1">
        <v>396503.419018557</v>
      </c>
      <c r="Y297" s="1">
        <v>11.5794248580932</v>
      </c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D298" s="1" t="s">
        <v>29</v>
      </c>
      <c r="E298" s="1">
        <v>80.0</v>
      </c>
      <c r="F298" s="1">
        <v>20.0</v>
      </c>
      <c r="H298" s="1">
        <v>403851.23414644</v>
      </c>
      <c r="I298" s="1">
        <v>8.14936280250549</v>
      </c>
      <c r="J298" s="1">
        <v>538066.0</v>
      </c>
      <c r="K298" s="1">
        <v>474161.999999999</v>
      </c>
      <c r="L298" s="1">
        <v>474161.999999999</v>
      </c>
      <c r="M298" s="1">
        <v>565.035170555114</v>
      </c>
      <c r="N298" s="1">
        <v>38277.0</v>
      </c>
      <c r="O298" s="5">
        <f t="shared" si="28"/>
        <v>0</v>
      </c>
      <c r="Q298" s="1">
        <v>404122.650130386</v>
      </c>
      <c r="S298" s="1">
        <v>63.5665464401245</v>
      </c>
      <c r="U298" s="1">
        <v>90465.9985253538</v>
      </c>
      <c r="V298" s="1">
        <v>5.43406915664672</v>
      </c>
      <c r="X298" s="1">
        <v>399380.074087124</v>
      </c>
      <c r="Y298" s="1">
        <v>26.5571134090423</v>
      </c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D299" s="1" t="s">
        <v>30</v>
      </c>
      <c r="E299" s="1">
        <v>80.0</v>
      </c>
      <c r="F299" s="1">
        <v>20.0</v>
      </c>
      <c r="H299" s="1">
        <v>432718.246908822</v>
      </c>
      <c r="I299" s="1">
        <v>8.1583137512207</v>
      </c>
      <c r="J299" s="1">
        <v>594575.0</v>
      </c>
      <c r="K299" s="1">
        <v>500647.0</v>
      </c>
      <c r="L299" s="1">
        <v>500647.0</v>
      </c>
      <c r="M299" s="1">
        <v>203.544564247131</v>
      </c>
      <c r="N299" s="1">
        <v>14933.0</v>
      </c>
      <c r="O299" s="5">
        <f t="shared" si="28"/>
        <v>0</v>
      </c>
      <c r="Q299" s="1">
        <v>433003.399785151</v>
      </c>
      <c r="S299" s="1">
        <v>76.3899917602539</v>
      </c>
      <c r="U299" s="1">
        <v>91091.0377009733</v>
      </c>
      <c r="V299" s="1">
        <v>6.00183033943176</v>
      </c>
      <c r="X299" s="1">
        <v>428622.31535397</v>
      </c>
      <c r="Y299" s="1">
        <v>23.7418065071105</v>
      </c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D300" s="1" t="s">
        <v>31</v>
      </c>
      <c r="E300" s="1">
        <v>80.0</v>
      </c>
      <c r="F300" s="1">
        <v>20.0</v>
      </c>
      <c r="H300" s="1">
        <v>401355.11276464</v>
      </c>
      <c r="I300" s="1">
        <v>8.14101696014404</v>
      </c>
      <c r="J300" s="1">
        <v>465384.0</v>
      </c>
      <c r="K300" s="1">
        <v>465191.0</v>
      </c>
      <c r="L300" s="1">
        <v>465191.0</v>
      </c>
      <c r="M300" s="1">
        <v>39.530256986618</v>
      </c>
      <c r="N300" s="1">
        <v>2785.0</v>
      </c>
      <c r="O300" s="5">
        <f t="shared" si="28"/>
        <v>0</v>
      </c>
      <c r="Q300" s="1">
        <v>401596.641492546</v>
      </c>
      <c r="S300" s="1">
        <v>64.3932225704193</v>
      </c>
      <c r="U300" s="1">
        <v>91092.0027125739</v>
      </c>
      <c r="V300" s="1">
        <v>6.26169323921203</v>
      </c>
      <c r="X300" s="1">
        <v>397194.052641658</v>
      </c>
      <c r="Y300" s="1">
        <v>23.0361330509185</v>
      </c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D301" s="1" t="s">
        <v>32</v>
      </c>
      <c r="E301" s="1">
        <v>80.0</v>
      </c>
      <c r="F301" s="1">
        <v>20.0</v>
      </c>
      <c r="H301" s="1">
        <v>419754.517017351</v>
      </c>
      <c r="I301" s="1">
        <v>8.14924693107605</v>
      </c>
      <c r="J301" s="1">
        <v>516620.0</v>
      </c>
      <c r="K301" s="1">
        <v>475008.0</v>
      </c>
      <c r="L301" s="1">
        <v>475008.0</v>
      </c>
      <c r="M301" s="1">
        <v>96.9282200336456</v>
      </c>
      <c r="N301" s="1">
        <v>6759.0</v>
      </c>
      <c r="O301" s="5">
        <f t="shared" si="28"/>
        <v>0</v>
      </c>
      <c r="Q301" s="1">
        <v>420011.499243119</v>
      </c>
      <c r="S301" s="1">
        <v>70.3926146030426</v>
      </c>
      <c r="U301" s="1">
        <v>92615.0019210099</v>
      </c>
      <c r="V301" s="1">
        <v>7.13532590866088</v>
      </c>
      <c r="X301" s="1">
        <v>415108.365087295</v>
      </c>
      <c r="Y301" s="1">
        <v>22.6781499385833</v>
      </c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D302" s="1" t="s">
        <v>33</v>
      </c>
      <c r="E302" s="1">
        <v>80.0</v>
      </c>
      <c r="F302" s="1">
        <v>20.0</v>
      </c>
      <c r="H302" s="1">
        <v>444566.606190839</v>
      </c>
      <c r="I302" s="1">
        <v>8.18889260292053</v>
      </c>
      <c r="J302" s="1">
        <v>614549.0</v>
      </c>
      <c r="K302" s="1">
        <v>531836.0</v>
      </c>
      <c r="L302" s="1">
        <v>531836.0</v>
      </c>
      <c r="M302" s="1">
        <v>3206.39848136901</v>
      </c>
      <c r="N302" s="1">
        <v>132621.0</v>
      </c>
      <c r="O302" s="5">
        <f t="shared" si="28"/>
        <v>0</v>
      </c>
      <c r="Q302" s="1">
        <v>444835.543137987</v>
      </c>
      <c r="S302" s="1">
        <v>68.7654812335968</v>
      </c>
      <c r="U302" s="1">
        <v>92406.0251445282</v>
      </c>
      <c r="V302" s="1">
        <v>5.76521229743957</v>
      </c>
      <c r="X302" s="1">
        <v>438494.444472017</v>
      </c>
      <c r="Y302" s="1">
        <v>26.9882807731628</v>
      </c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D303" s="1" t="s">
        <v>34</v>
      </c>
      <c r="E303" s="1">
        <v>80.0</v>
      </c>
      <c r="F303" s="1">
        <v>20.0</v>
      </c>
      <c r="H303" s="1">
        <v>412049.153983822</v>
      </c>
      <c r="I303" s="1">
        <v>8.07356739044189</v>
      </c>
      <c r="J303" s="1">
        <v>585495.0</v>
      </c>
      <c r="K303" s="1">
        <v>488949.999999999</v>
      </c>
      <c r="L303" s="1">
        <v>488949.999999999</v>
      </c>
      <c r="M303" s="1">
        <v>1101.54456543922</v>
      </c>
      <c r="N303" s="1">
        <v>66019.0</v>
      </c>
      <c r="O303" s="5">
        <f t="shared" si="28"/>
        <v>0</v>
      </c>
      <c r="Q303" s="1">
        <v>412283.373251825</v>
      </c>
      <c r="S303" s="1">
        <v>36.0008862018585</v>
      </c>
      <c r="U303" s="1">
        <v>91247.9974270125</v>
      </c>
      <c r="V303" s="1">
        <v>5.29303860664367</v>
      </c>
      <c r="X303" s="1">
        <v>407252.700227978</v>
      </c>
      <c r="Y303" s="1">
        <v>16.983971118927</v>
      </c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D304" s="1" t="s">
        <v>35</v>
      </c>
      <c r="E304" s="1">
        <v>80.0</v>
      </c>
      <c r="F304" s="1">
        <v>20.0</v>
      </c>
      <c r="H304" s="1">
        <v>395161.047373184</v>
      </c>
      <c r="I304" s="1">
        <v>8.103679895401</v>
      </c>
      <c r="J304" s="1">
        <v>487127.0</v>
      </c>
      <c r="K304" s="1">
        <v>454284.0</v>
      </c>
      <c r="L304" s="1">
        <v>454284.0</v>
      </c>
      <c r="M304" s="1">
        <v>153.630660057067</v>
      </c>
      <c r="N304" s="1">
        <v>11303.0</v>
      </c>
      <c r="O304" s="5">
        <f t="shared" si="28"/>
        <v>0</v>
      </c>
      <c r="Q304" s="1">
        <v>395371.049393095</v>
      </c>
      <c r="S304" s="1">
        <v>44.4279940128326</v>
      </c>
      <c r="U304" s="1">
        <v>89516.0032320972</v>
      </c>
      <c r="V304" s="1">
        <v>5.79769229888916</v>
      </c>
      <c r="X304" s="1">
        <v>390803.892854893</v>
      </c>
      <c r="Y304" s="1">
        <v>17.3683466911315</v>
      </c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D305" s="1" t="s">
        <v>36</v>
      </c>
      <c r="E305" s="1">
        <v>80.0</v>
      </c>
      <c r="F305" s="1">
        <v>20.0</v>
      </c>
      <c r="H305" s="1">
        <v>409183.15052571</v>
      </c>
      <c r="I305" s="1">
        <v>8.04636168479919</v>
      </c>
      <c r="J305" s="1">
        <v>441250.999999999</v>
      </c>
      <c r="K305" s="1">
        <v>434015.0</v>
      </c>
      <c r="L305" s="1">
        <v>434015.0</v>
      </c>
      <c r="M305" s="1">
        <v>17.3218686580657</v>
      </c>
      <c r="N305" s="1">
        <v>921.0</v>
      </c>
      <c r="O305" s="5">
        <f t="shared" si="28"/>
        <v>0</v>
      </c>
      <c r="Q305" s="1">
        <v>409477.070480233</v>
      </c>
      <c r="S305" s="1">
        <v>84.4887681007385</v>
      </c>
      <c r="U305" s="1">
        <v>92170.124884303</v>
      </c>
      <c r="V305" s="1">
        <v>7.76142311096191</v>
      </c>
      <c r="X305" s="1">
        <v>404918.730893259</v>
      </c>
      <c r="Y305" s="1">
        <v>27.4435312747955</v>
      </c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D306" s="1" t="s">
        <v>37</v>
      </c>
      <c r="E306" s="1">
        <v>80.0</v>
      </c>
      <c r="F306" s="1">
        <v>20.0</v>
      </c>
      <c r="H306" s="1">
        <v>423570.337174695</v>
      </c>
      <c r="I306" s="1">
        <v>8.10772848129272</v>
      </c>
      <c r="J306" s="1">
        <v>471360.999999999</v>
      </c>
      <c r="K306" s="1">
        <v>449345.999999999</v>
      </c>
      <c r="L306" s="1">
        <v>449345.999999999</v>
      </c>
      <c r="M306" s="1">
        <v>13.8848896026611</v>
      </c>
      <c r="N306" s="1">
        <v>489.0</v>
      </c>
      <c r="O306" s="5">
        <f t="shared" si="28"/>
        <v>0</v>
      </c>
      <c r="Q306" s="1">
        <v>423815.299321479</v>
      </c>
      <c r="S306" s="1">
        <v>57.0435903072357</v>
      </c>
      <c r="U306" s="1">
        <v>93816.2159833671</v>
      </c>
      <c r="V306" s="1">
        <v>15.770272731781</v>
      </c>
      <c r="X306" s="1">
        <v>415852.907264046</v>
      </c>
      <c r="Y306" s="1">
        <v>21.2931690216064</v>
      </c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D307" s="1" t="s">
        <v>38</v>
      </c>
      <c r="E307" s="1">
        <v>80.0</v>
      </c>
      <c r="F307" s="1">
        <v>20.0</v>
      </c>
      <c r="H307" s="1">
        <v>395228.758612142</v>
      </c>
      <c r="I307" s="1">
        <v>8.08965897560119</v>
      </c>
      <c r="J307" s="1">
        <v>505456.0</v>
      </c>
      <c r="K307" s="1">
        <v>448180.0</v>
      </c>
      <c r="L307" s="1">
        <v>448180.0</v>
      </c>
      <c r="M307" s="1">
        <v>108.506646633148</v>
      </c>
      <c r="N307" s="1">
        <v>7953.0</v>
      </c>
      <c r="O307" s="5">
        <f t="shared" si="28"/>
        <v>0</v>
      </c>
      <c r="Q307" s="1">
        <v>395484.346618303</v>
      </c>
      <c r="S307" s="1">
        <v>93.3236923217773</v>
      </c>
      <c r="U307" s="1">
        <v>89690.066671642</v>
      </c>
      <c r="V307" s="1">
        <v>5.59984302520751</v>
      </c>
      <c r="X307" s="1">
        <v>389021.365607955</v>
      </c>
      <c r="Y307" s="1">
        <v>18.1589524745941</v>
      </c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D308" s="1" t="s">
        <v>39</v>
      </c>
      <c r="E308" s="1">
        <v>80.0</v>
      </c>
      <c r="F308" s="1">
        <v>20.0</v>
      </c>
      <c r="H308" s="1">
        <v>394854.175701626</v>
      </c>
      <c r="I308" s="1">
        <v>8.06084465980529</v>
      </c>
      <c r="J308" s="1">
        <v>454454.0</v>
      </c>
      <c r="K308" s="1">
        <v>448573.0</v>
      </c>
      <c r="L308" s="1">
        <v>448573.0</v>
      </c>
      <c r="M308" s="1">
        <v>74.1759009361267</v>
      </c>
      <c r="N308" s="1">
        <v>5657.0</v>
      </c>
      <c r="O308" s="5">
        <f t="shared" si="28"/>
        <v>0</v>
      </c>
      <c r="Q308" s="1">
        <v>395147.580603112</v>
      </c>
      <c r="S308" s="1">
        <v>86.9522438049316</v>
      </c>
      <c r="U308" s="1">
        <v>88927.0084974079</v>
      </c>
      <c r="V308" s="1">
        <v>5.66697216033935</v>
      </c>
      <c r="X308" s="1">
        <v>386582.857017533</v>
      </c>
      <c r="Y308" s="1">
        <v>23.7534272670745</v>
      </c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D309" s="1" t="s">
        <v>40</v>
      </c>
      <c r="E309" s="1">
        <v>80.0</v>
      </c>
      <c r="F309" s="1">
        <v>20.0</v>
      </c>
      <c r="H309" s="1">
        <v>416280.950235653</v>
      </c>
      <c r="I309" s="1">
        <v>8.0741286277771</v>
      </c>
      <c r="J309" s="1">
        <v>532249.999999999</v>
      </c>
      <c r="K309" s="1">
        <v>463602.999999999</v>
      </c>
      <c r="L309" s="1">
        <v>463602.999999999</v>
      </c>
      <c r="M309" s="1">
        <v>92.5451483726501</v>
      </c>
      <c r="N309" s="1">
        <v>6475.0</v>
      </c>
      <c r="O309" s="5">
        <f t="shared" si="28"/>
        <v>0</v>
      </c>
      <c r="Q309" s="1">
        <v>416516.828272492</v>
      </c>
      <c r="S309" s="1">
        <v>55.1984546184539</v>
      </c>
      <c r="U309" s="1">
        <v>93952.0728733303</v>
      </c>
      <c r="V309" s="1">
        <v>5.80503797531127</v>
      </c>
      <c r="X309" s="1">
        <v>411801.886245577</v>
      </c>
      <c r="Y309" s="1">
        <v>46.4761710166931</v>
      </c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D310" s="1" t="s">
        <v>41</v>
      </c>
      <c r="E310" s="1">
        <v>80.0</v>
      </c>
      <c r="F310" s="1">
        <v>20.0</v>
      </c>
      <c r="H310" s="1">
        <v>413129.265526719</v>
      </c>
      <c r="I310" s="1">
        <v>8.08803009986877</v>
      </c>
      <c r="J310" s="1">
        <v>534752.999999999</v>
      </c>
      <c r="K310" s="1">
        <v>459474.999999999</v>
      </c>
      <c r="L310" s="1">
        <v>459474.999999999</v>
      </c>
      <c r="M310" s="1">
        <v>39.862169265747</v>
      </c>
      <c r="N310" s="1">
        <v>2557.0</v>
      </c>
      <c r="O310" s="5">
        <f t="shared" si="28"/>
        <v>0</v>
      </c>
      <c r="Q310" s="1">
        <v>413389.015115137</v>
      </c>
      <c r="S310" s="1">
        <v>60.2481579780578</v>
      </c>
      <c r="U310" s="1">
        <v>91202.9989187874</v>
      </c>
      <c r="V310" s="1">
        <v>5.35156416893005</v>
      </c>
      <c r="X310" s="1">
        <v>406311.996287673</v>
      </c>
      <c r="Y310" s="1">
        <v>14.8945097923278</v>
      </c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D311" s="1" t="s">
        <v>42</v>
      </c>
      <c r="E311" s="1">
        <v>80.0</v>
      </c>
      <c r="F311" s="1">
        <v>20.0</v>
      </c>
      <c r="H311" s="1">
        <v>403561.221091939</v>
      </c>
      <c r="I311" s="1">
        <v>8.06179928779602</v>
      </c>
      <c r="J311" s="1">
        <v>510830.0</v>
      </c>
      <c r="K311" s="1">
        <v>451483.999999999</v>
      </c>
      <c r="L311" s="1">
        <v>451483.999999999</v>
      </c>
      <c r="M311" s="1">
        <v>199.330023527145</v>
      </c>
      <c r="N311" s="1">
        <v>13891.0</v>
      </c>
      <c r="O311" s="5">
        <f t="shared" si="28"/>
        <v>0</v>
      </c>
      <c r="Q311" s="1">
        <v>403832.327449914</v>
      </c>
      <c r="S311" s="1">
        <v>51.4677402973175</v>
      </c>
      <c r="U311" s="1">
        <v>91539.0041075683</v>
      </c>
      <c r="V311" s="1">
        <v>6.78214836120605</v>
      </c>
      <c r="X311" s="1">
        <v>396900.168545063</v>
      </c>
      <c r="Y311" s="1">
        <v>22.839227437973</v>
      </c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D312" s="1" t="s">
        <v>43</v>
      </c>
      <c r="E312" s="1">
        <v>80.0</v>
      </c>
      <c r="F312" s="1">
        <v>20.0</v>
      </c>
      <c r="H312" s="1">
        <v>412027.240423203</v>
      </c>
      <c r="I312" s="1">
        <v>8.05538463592529</v>
      </c>
      <c r="J312" s="1">
        <v>501088.0</v>
      </c>
      <c r="K312" s="1">
        <v>481052.0</v>
      </c>
      <c r="L312" s="1">
        <v>481052.0</v>
      </c>
      <c r="M312" s="1">
        <v>319.899689912796</v>
      </c>
      <c r="N312" s="1">
        <v>24951.0</v>
      </c>
      <c r="O312" s="5">
        <f t="shared" si="28"/>
        <v>0</v>
      </c>
      <c r="Q312" s="1">
        <v>412238.721946149</v>
      </c>
      <c r="S312" s="1">
        <v>69.9613404273986</v>
      </c>
      <c r="U312" s="1">
        <v>93258.0170001496</v>
      </c>
      <c r="V312" s="1">
        <v>5.59373188018798</v>
      </c>
      <c r="X312" s="1">
        <v>407129.677330012</v>
      </c>
      <c r="Y312" s="1">
        <v>24.2570724487304</v>
      </c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D313" s="1" t="s">
        <v>44</v>
      </c>
      <c r="E313" s="1">
        <v>80.0</v>
      </c>
      <c r="F313" s="1">
        <v>20.0</v>
      </c>
      <c r="H313" s="1">
        <v>395111.381450777</v>
      </c>
      <c r="I313" s="1">
        <v>8.07805395126342</v>
      </c>
      <c r="J313" s="1">
        <v>503833.0</v>
      </c>
      <c r="K313" s="1">
        <v>446372.0</v>
      </c>
      <c r="L313" s="1">
        <v>446372.0</v>
      </c>
      <c r="M313" s="1">
        <v>83.5169582366943</v>
      </c>
      <c r="N313" s="1">
        <v>6249.0</v>
      </c>
      <c r="O313" s="5">
        <f t="shared" si="28"/>
        <v>0</v>
      </c>
      <c r="Q313" s="1">
        <v>395366.015691685</v>
      </c>
      <c r="S313" s="1">
        <v>69.0550298690795</v>
      </c>
      <c r="U313" s="1">
        <v>93401.3091009789</v>
      </c>
      <c r="V313" s="1">
        <v>14.6387701034545</v>
      </c>
      <c r="X313" s="1">
        <v>390238.02214724</v>
      </c>
      <c r="Y313" s="1">
        <v>20.0286059379577</v>
      </c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D314" s="1" t="s">
        <v>45</v>
      </c>
      <c r="E314" s="1">
        <v>80.0</v>
      </c>
      <c r="F314" s="1">
        <v>20.0</v>
      </c>
      <c r="H314" s="1">
        <v>404186.827514991</v>
      </c>
      <c r="I314" s="1">
        <v>8.04691362380981</v>
      </c>
      <c r="J314" s="1">
        <v>496795.0</v>
      </c>
      <c r="K314" s="1">
        <v>464056.999999999</v>
      </c>
      <c r="L314" s="1">
        <v>464056.999999999</v>
      </c>
      <c r="M314" s="1">
        <v>206.606101512908</v>
      </c>
      <c r="N314" s="1">
        <v>16419.0</v>
      </c>
      <c r="O314" s="5">
        <f t="shared" si="28"/>
        <v>0</v>
      </c>
      <c r="Q314" s="1">
        <v>404407.15329932</v>
      </c>
      <c r="S314" s="1">
        <v>72.4991319179534</v>
      </c>
      <c r="U314" s="1">
        <v>95055.7513618052</v>
      </c>
      <c r="V314" s="1">
        <v>12.2702295780181</v>
      </c>
      <c r="X314" s="1">
        <v>400020.651955595</v>
      </c>
      <c r="Y314" s="1">
        <v>19.1684916019439</v>
      </c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D315" s="1"/>
      <c r="E315" s="6">
        <f t="shared" ref="E315:F315" si="29">AVERAGE(E285:E314)</f>
        <v>80</v>
      </c>
      <c r="F315" s="6">
        <f t="shared" si="29"/>
        <v>20</v>
      </c>
      <c r="H315" s="6">
        <f t="shared" ref="H315:O315" si="30">AVERAGE(H285:H314)</f>
        <v>408134.7085</v>
      </c>
      <c r="I315" s="6">
        <f t="shared" si="30"/>
        <v>8.118142128</v>
      </c>
      <c r="J315" s="6">
        <f t="shared" si="30"/>
        <v>516865.6667</v>
      </c>
      <c r="K315" s="6">
        <f t="shared" si="30"/>
        <v>467252.1</v>
      </c>
      <c r="L315" s="6">
        <f t="shared" si="30"/>
        <v>467252.1</v>
      </c>
      <c r="M315" s="6">
        <f t="shared" si="30"/>
        <v>395.0824705</v>
      </c>
      <c r="N315" s="6">
        <f t="shared" si="30"/>
        <v>23600.6</v>
      </c>
      <c r="O315" s="6">
        <f t="shared" si="30"/>
        <v>0</v>
      </c>
      <c r="Q315" s="6">
        <f>AVERAGE(Q285:Q314)</f>
        <v>408382.8498</v>
      </c>
      <c r="S315" s="6">
        <f>AVERAGE(S285:S314)</f>
        <v>64.769527</v>
      </c>
    </row>
    <row r="316">
      <c r="D316" s="1" t="s">
        <v>16</v>
      </c>
      <c r="E316" s="1">
        <v>80.0</v>
      </c>
      <c r="F316" s="1">
        <v>25.0</v>
      </c>
      <c r="H316" s="1">
        <v>604844.761432981</v>
      </c>
      <c r="I316" s="1">
        <v>8.220712184906</v>
      </c>
      <c r="J316" s="1">
        <v>648514.0</v>
      </c>
      <c r="K316" s="1">
        <v>648514.0</v>
      </c>
      <c r="L316" s="1">
        <v>648514.0</v>
      </c>
      <c r="M316" s="1">
        <v>82.5460700988769</v>
      </c>
      <c r="N316" s="1">
        <v>6771.0</v>
      </c>
      <c r="O316" s="5">
        <f t="shared" ref="O316:O345" si="31">100*(K316-L316)/K316</f>
        <v>0</v>
      </c>
      <c r="Q316" s="1">
        <v>605120.203918803</v>
      </c>
      <c r="S316" s="1">
        <v>89.6181230545044</v>
      </c>
      <c r="U316" s="1">
        <v>98932.0019307142</v>
      </c>
      <c r="V316" s="1">
        <v>5.3892023563385</v>
      </c>
      <c r="X316" s="1">
        <v>598252.886322893</v>
      </c>
      <c r="Y316" s="1">
        <v>17.8347754478454</v>
      </c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D317" s="1" t="s">
        <v>17</v>
      </c>
      <c r="E317" s="1">
        <v>80.0</v>
      </c>
      <c r="F317" s="1">
        <v>25.0</v>
      </c>
      <c r="H317" s="1">
        <v>659051.520047018</v>
      </c>
      <c r="I317" s="1">
        <v>8.2461256980896</v>
      </c>
      <c r="J317" s="1">
        <v>744849.0</v>
      </c>
      <c r="K317" s="1">
        <v>730891.999999999</v>
      </c>
      <c r="L317" s="1">
        <v>730891.999999999</v>
      </c>
      <c r="M317" s="1">
        <v>176.723624467849</v>
      </c>
      <c r="N317" s="1">
        <v>14749.0</v>
      </c>
      <c r="O317" s="5">
        <f t="shared" si="31"/>
        <v>0</v>
      </c>
      <c r="Q317" s="1">
        <v>659307.664388269</v>
      </c>
      <c r="S317" s="1">
        <v>47.3378219604492</v>
      </c>
      <c r="U317" s="1">
        <v>100203.997146595</v>
      </c>
      <c r="V317" s="1">
        <v>7.00133204460144</v>
      </c>
      <c r="X317" s="1">
        <v>649984.993585901</v>
      </c>
      <c r="Y317" s="1">
        <v>17.0451788902282</v>
      </c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D318" s="1" t="s">
        <v>18</v>
      </c>
      <c r="E318" s="1">
        <v>80.0</v>
      </c>
      <c r="F318" s="1">
        <v>25.0</v>
      </c>
      <c r="H318" s="1">
        <v>583941.784988657</v>
      </c>
      <c r="I318" s="1">
        <v>8.26815819740295</v>
      </c>
      <c r="J318" s="1">
        <v>623389.0</v>
      </c>
      <c r="K318" s="1">
        <v>623388.999999999</v>
      </c>
      <c r="L318" s="1">
        <v>623388.999999999</v>
      </c>
      <c r="M318" s="1">
        <v>48.4167394638061</v>
      </c>
      <c r="N318" s="1">
        <v>3777.0</v>
      </c>
      <c r="O318" s="5">
        <f t="shared" si="31"/>
        <v>0</v>
      </c>
      <c r="Q318" s="1">
        <v>584248.914618156</v>
      </c>
      <c r="S318" s="1">
        <v>53.6254601478576</v>
      </c>
      <c r="U318" s="1">
        <v>98628.9950661727</v>
      </c>
      <c r="V318" s="1">
        <v>7.04266786575317</v>
      </c>
      <c r="X318" s="1">
        <v>577285.906405398</v>
      </c>
      <c r="Y318" s="1">
        <v>21.6952168941497</v>
      </c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D319" s="1" t="s">
        <v>19</v>
      </c>
      <c r="E319" s="1">
        <v>80.0</v>
      </c>
      <c r="F319" s="1">
        <v>25.0</v>
      </c>
      <c r="H319" s="1">
        <v>656127.799093392</v>
      </c>
      <c r="I319" s="1">
        <v>8.26592779159545</v>
      </c>
      <c r="J319" s="1">
        <v>718181.0</v>
      </c>
      <c r="K319" s="1">
        <v>706102.0</v>
      </c>
      <c r="L319" s="1">
        <v>706102.0</v>
      </c>
      <c r="M319" s="1">
        <v>18.877084493637</v>
      </c>
      <c r="N319" s="1">
        <v>989.0</v>
      </c>
      <c r="O319" s="5">
        <f t="shared" si="31"/>
        <v>0</v>
      </c>
      <c r="Q319" s="1">
        <v>656414.550662391</v>
      </c>
      <c r="S319" s="1">
        <v>107.121717453002</v>
      </c>
      <c r="U319" s="1">
        <v>100001.056593665</v>
      </c>
      <c r="V319" s="1">
        <v>5.77998161315918</v>
      </c>
      <c r="X319" s="1">
        <v>650433.416400393</v>
      </c>
      <c r="Y319" s="1">
        <v>25.8163335323333</v>
      </c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D320" s="1" t="s">
        <v>20</v>
      </c>
      <c r="E320" s="1">
        <v>80.0</v>
      </c>
      <c r="F320" s="1">
        <v>25.0</v>
      </c>
      <c r="H320" s="1">
        <v>668324.292001016</v>
      </c>
      <c r="I320" s="1">
        <v>8.24696826934814</v>
      </c>
      <c r="J320" s="1">
        <v>741031.0</v>
      </c>
      <c r="K320" s="1">
        <v>711867.0</v>
      </c>
      <c r="L320" s="1">
        <v>711867.0</v>
      </c>
      <c r="M320" s="1">
        <v>81.0175259113311</v>
      </c>
      <c r="N320" s="1">
        <v>5491.0</v>
      </c>
      <c r="O320" s="5">
        <f t="shared" si="31"/>
        <v>0</v>
      </c>
      <c r="Q320" s="1">
        <v>668632.739782926</v>
      </c>
      <c r="S320" s="1">
        <v>45.7118136882782</v>
      </c>
      <c r="U320" s="1">
        <v>102236.641790676</v>
      </c>
      <c r="V320" s="1">
        <v>25.5824582576751</v>
      </c>
      <c r="X320" s="1">
        <v>652024.978551135</v>
      </c>
      <c r="Y320" s="1">
        <v>18.0079271793365</v>
      </c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D321" s="1" t="s">
        <v>21</v>
      </c>
      <c r="E321" s="1">
        <v>80.0</v>
      </c>
      <c r="F321" s="1">
        <v>25.0</v>
      </c>
      <c r="H321" s="1">
        <v>608323.319261587</v>
      </c>
      <c r="I321" s="1">
        <v>8.25054478645324</v>
      </c>
      <c r="J321" s="1">
        <v>646243.0</v>
      </c>
      <c r="K321" s="1">
        <v>646242.999999999</v>
      </c>
      <c r="L321" s="1">
        <v>646242.999999999</v>
      </c>
      <c r="M321" s="1">
        <v>19.7714586257934</v>
      </c>
      <c r="N321" s="1">
        <v>1155.0</v>
      </c>
      <c r="O321" s="5">
        <f t="shared" si="31"/>
        <v>0</v>
      </c>
      <c r="Q321" s="1">
        <v>608597.126934972</v>
      </c>
      <c r="S321" s="1">
        <v>96.5559065341949</v>
      </c>
      <c r="U321" s="1">
        <v>101671.013046655</v>
      </c>
      <c r="V321" s="1">
        <v>5.78628230094909</v>
      </c>
      <c r="X321" s="1">
        <v>601439.221196475</v>
      </c>
      <c r="Y321" s="1">
        <v>14.9906752109527</v>
      </c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D322" s="1" t="s">
        <v>22</v>
      </c>
      <c r="E322" s="1">
        <v>80.0</v>
      </c>
      <c r="F322" s="1">
        <v>25.0</v>
      </c>
      <c r="H322" s="1">
        <v>668804.622079206</v>
      </c>
      <c r="I322" s="1">
        <v>8.24002480506897</v>
      </c>
      <c r="J322" s="1">
        <v>840592.999999999</v>
      </c>
      <c r="K322" s="1">
        <v>732917.999999999</v>
      </c>
      <c r="L322" s="1">
        <v>732917.999999999</v>
      </c>
      <c r="M322" s="1">
        <v>30.6400198936462</v>
      </c>
      <c r="N322" s="1">
        <v>2083.0</v>
      </c>
      <c r="O322" s="5">
        <f t="shared" si="31"/>
        <v>0</v>
      </c>
      <c r="Q322" s="1">
        <v>669092.490613383</v>
      </c>
      <c r="S322" s="1">
        <v>49.3649401664733</v>
      </c>
      <c r="U322" s="1">
        <v>100492.995403731</v>
      </c>
      <c r="V322" s="1">
        <v>5.86029434204101</v>
      </c>
      <c r="X322" s="1">
        <v>661829.049303867</v>
      </c>
      <c r="Y322" s="1">
        <v>23.7096917629241</v>
      </c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D323" s="1" t="s">
        <v>23</v>
      </c>
      <c r="E323" s="1">
        <v>80.0</v>
      </c>
      <c r="F323" s="1">
        <v>25.0</v>
      </c>
      <c r="H323" s="1">
        <v>668117.050473143</v>
      </c>
      <c r="I323" s="1">
        <v>8.22309589385986</v>
      </c>
      <c r="J323" s="1">
        <v>847723.0</v>
      </c>
      <c r="K323" s="1">
        <v>739676.0</v>
      </c>
      <c r="L323" s="1">
        <v>739676.0</v>
      </c>
      <c r="M323" s="1">
        <v>284.205439567565</v>
      </c>
      <c r="N323" s="1">
        <v>22049.0</v>
      </c>
      <c r="O323" s="5">
        <f t="shared" si="31"/>
        <v>0</v>
      </c>
      <c r="Q323" s="1">
        <v>668395.742200606</v>
      </c>
      <c r="S323" s="1">
        <v>47.9200356006622</v>
      </c>
      <c r="U323" s="1">
        <v>99364.9976891436</v>
      </c>
      <c r="V323" s="1">
        <v>6.7857129573822</v>
      </c>
      <c r="X323" s="1">
        <v>655863.160824723</v>
      </c>
      <c r="Y323" s="1">
        <v>16.1129384040832</v>
      </c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D324" s="1" t="s">
        <v>24</v>
      </c>
      <c r="E324" s="1">
        <v>80.0</v>
      </c>
      <c r="F324" s="1">
        <v>25.0</v>
      </c>
      <c r="H324" s="1">
        <v>667771.467892235</v>
      </c>
      <c r="I324" s="1">
        <v>8.22676181793212</v>
      </c>
      <c r="J324" s="1">
        <v>725660.0</v>
      </c>
      <c r="K324" s="1">
        <v>702153.999999999</v>
      </c>
      <c r="L324" s="1">
        <v>702153.999999999</v>
      </c>
      <c r="M324" s="1">
        <v>30.7636346817016</v>
      </c>
      <c r="N324" s="1">
        <v>1989.0</v>
      </c>
      <c r="O324" s="5">
        <f t="shared" si="31"/>
        <v>0</v>
      </c>
      <c r="Q324" s="1">
        <v>668081.019060777</v>
      </c>
      <c r="S324" s="1">
        <v>37.1866359710693</v>
      </c>
      <c r="U324" s="1">
        <v>98915.1819852016</v>
      </c>
      <c r="V324" s="1">
        <v>7.24725818634033</v>
      </c>
      <c r="X324" s="1">
        <v>654973.742830844</v>
      </c>
      <c r="Y324" s="1">
        <v>25.8758337497711</v>
      </c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D325" s="1" t="s">
        <v>25</v>
      </c>
      <c r="E325" s="1">
        <v>80.0</v>
      </c>
      <c r="F325" s="1">
        <v>25.0</v>
      </c>
      <c r="H325" s="1">
        <v>709143.31917365</v>
      </c>
      <c r="I325" s="1">
        <v>8.22343373298645</v>
      </c>
      <c r="J325" s="1">
        <v>827658.999999999</v>
      </c>
      <c r="K325" s="1">
        <v>770788.999999999</v>
      </c>
      <c r="L325" s="1">
        <v>770788.999999999</v>
      </c>
      <c r="M325" s="1">
        <v>98.553915977478</v>
      </c>
      <c r="N325" s="1">
        <v>7263.0</v>
      </c>
      <c r="O325" s="5">
        <f t="shared" si="31"/>
        <v>0</v>
      </c>
      <c r="Q325" s="1">
        <v>709472.27662001</v>
      </c>
      <c r="S325" s="1">
        <v>51.3041574954986</v>
      </c>
      <c r="U325" s="1">
        <v>101196.311224038</v>
      </c>
      <c r="V325" s="1">
        <v>5.26022577285766</v>
      </c>
      <c r="X325" s="1">
        <v>697532.398283637</v>
      </c>
      <c r="Y325" s="1">
        <v>16.3595855236053</v>
      </c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D326" s="1" t="s">
        <v>26</v>
      </c>
      <c r="E326" s="1">
        <v>80.0</v>
      </c>
      <c r="F326" s="1">
        <v>25.0</v>
      </c>
      <c r="H326" s="1">
        <v>685052.212522067</v>
      </c>
      <c r="I326" s="1">
        <v>8.20082736015319</v>
      </c>
      <c r="J326" s="1">
        <v>822330.0</v>
      </c>
      <c r="K326" s="1">
        <v>729158.0</v>
      </c>
      <c r="L326" s="1">
        <v>729158.0</v>
      </c>
      <c r="M326" s="1">
        <v>28.1263329982757</v>
      </c>
      <c r="N326" s="1">
        <v>1735.0</v>
      </c>
      <c r="O326" s="5">
        <f t="shared" si="31"/>
        <v>0</v>
      </c>
      <c r="Q326" s="1">
        <v>685374.694083496</v>
      </c>
      <c r="S326" s="1">
        <v>52.9274470806121</v>
      </c>
      <c r="U326" s="1">
        <v>102380.573109463</v>
      </c>
      <c r="V326" s="1">
        <v>8.41691780090332</v>
      </c>
      <c r="X326" s="1">
        <v>673292.456938612</v>
      </c>
      <c r="Y326" s="1">
        <v>18.7125670909881</v>
      </c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D327" s="1" t="s">
        <v>27</v>
      </c>
      <c r="E327" s="1">
        <v>80.0</v>
      </c>
      <c r="F327" s="1">
        <v>25.0</v>
      </c>
      <c r="H327" s="1">
        <v>662212.321541551</v>
      </c>
      <c r="I327" s="1">
        <v>8.21945405006408</v>
      </c>
      <c r="J327" s="1">
        <v>708875.0</v>
      </c>
      <c r="K327" s="1">
        <v>706266.0</v>
      </c>
      <c r="L327" s="1">
        <v>706266.0</v>
      </c>
      <c r="M327" s="1">
        <v>27.1519758701324</v>
      </c>
      <c r="N327" s="1">
        <v>1779.0</v>
      </c>
      <c r="O327" s="5">
        <f t="shared" si="31"/>
        <v>0</v>
      </c>
      <c r="Q327" s="1">
        <v>662508.542088254</v>
      </c>
      <c r="S327" s="1">
        <v>60.7386200428009</v>
      </c>
      <c r="U327" s="1">
        <v>97706.892027763</v>
      </c>
      <c r="V327" s="1">
        <v>5.75286960601806</v>
      </c>
      <c r="X327" s="1">
        <v>653099.175371725</v>
      </c>
      <c r="Y327" s="1">
        <v>16.6405909061431</v>
      </c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D328" s="1" t="s">
        <v>28</v>
      </c>
      <c r="E328" s="1">
        <v>80.0</v>
      </c>
      <c r="F328" s="1">
        <v>25.0</v>
      </c>
      <c r="H328" s="1">
        <v>648086.018076011</v>
      </c>
      <c r="I328" s="1">
        <v>8.21766567230224</v>
      </c>
      <c r="J328" s="1">
        <v>742260.0</v>
      </c>
      <c r="K328" s="1">
        <v>688829.999999999</v>
      </c>
      <c r="L328" s="1">
        <v>688829.999999999</v>
      </c>
      <c r="M328" s="1">
        <v>22.7632489204406</v>
      </c>
      <c r="N328" s="1">
        <v>1281.0</v>
      </c>
      <c r="O328" s="5">
        <f t="shared" si="31"/>
        <v>0</v>
      </c>
      <c r="Q328" s="1">
        <v>648392.89687365</v>
      </c>
      <c r="S328" s="1">
        <v>68.1033351421356</v>
      </c>
      <c r="U328" s="1">
        <v>100119.015764854</v>
      </c>
      <c r="V328" s="1">
        <v>5.60813879966735</v>
      </c>
      <c r="X328" s="1">
        <v>636726.062171916</v>
      </c>
      <c r="Y328" s="1">
        <v>15.9676246643066</v>
      </c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D329" s="1" t="s">
        <v>29</v>
      </c>
      <c r="E329" s="1">
        <v>80.0</v>
      </c>
      <c r="F329" s="1">
        <v>25.0</v>
      </c>
      <c r="H329" s="1">
        <v>650233.912075864</v>
      </c>
      <c r="I329" s="1">
        <v>8.24154019355774</v>
      </c>
      <c r="J329" s="1">
        <v>719203.0</v>
      </c>
      <c r="K329" s="1">
        <v>705164.999999999</v>
      </c>
      <c r="L329" s="1">
        <v>705164.999999999</v>
      </c>
      <c r="M329" s="1">
        <v>60.4246392250061</v>
      </c>
      <c r="N329" s="1">
        <v>4579.0</v>
      </c>
      <c r="O329" s="5">
        <f t="shared" si="31"/>
        <v>0</v>
      </c>
      <c r="Q329" s="1">
        <v>650549.791009484</v>
      </c>
      <c r="S329" s="1">
        <v>82.9228649139404</v>
      </c>
      <c r="U329" s="1">
        <v>99584.4139798158</v>
      </c>
      <c r="V329" s="1">
        <v>5.71574282646179</v>
      </c>
      <c r="X329" s="1">
        <v>641656.074418525</v>
      </c>
      <c r="Y329" s="1">
        <v>28.5139112472534</v>
      </c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D330" s="1" t="s">
        <v>30</v>
      </c>
      <c r="E330" s="1">
        <v>80.0</v>
      </c>
      <c r="F330" s="1">
        <v>25.0</v>
      </c>
      <c r="H330" s="1">
        <v>705741.316273911</v>
      </c>
      <c r="I330" s="1">
        <v>8.20389509201049</v>
      </c>
      <c r="J330" s="1">
        <v>837168.0</v>
      </c>
      <c r="K330" s="1">
        <v>763548.999999999</v>
      </c>
      <c r="L330" s="1">
        <v>763548.999999999</v>
      </c>
      <c r="M330" s="1">
        <v>47.5707650184631</v>
      </c>
      <c r="N330" s="1">
        <v>3245.0</v>
      </c>
      <c r="O330" s="5">
        <f t="shared" si="31"/>
        <v>0</v>
      </c>
      <c r="Q330" s="1">
        <v>706060.634696776</v>
      </c>
      <c r="S330" s="1">
        <v>67.6814057826995</v>
      </c>
      <c r="U330" s="1">
        <v>100080.999303071</v>
      </c>
      <c r="V330" s="1">
        <v>5.59290790557861</v>
      </c>
      <c r="X330" s="1">
        <v>694112.427566293</v>
      </c>
      <c r="Y330" s="1">
        <v>22.2123582363128</v>
      </c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D331" s="1" t="s">
        <v>31</v>
      </c>
      <c r="E331" s="1">
        <v>80.0</v>
      </c>
      <c r="F331" s="1">
        <v>25.0</v>
      </c>
      <c r="H331" s="1">
        <v>660918.117802418</v>
      </c>
      <c r="I331" s="1">
        <v>8.23241567611694</v>
      </c>
      <c r="J331" s="1">
        <v>832308.0</v>
      </c>
      <c r="K331" s="1">
        <v>726517.0</v>
      </c>
      <c r="L331" s="1">
        <v>726517.0</v>
      </c>
      <c r="M331" s="1">
        <v>36.2298057079315</v>
      </c>
      <c r="N331" s="1">
        <v>2563.0</v>
      </c>
      <c r="O331" s="5">
        <f t="shared" si="31"/>
        <v>0</v>
      </c>
      <c r="Q331" s="1">
        <v>661269.920933054</v>
      </c>
      <c r="S331" s="1">
        <v>85.6089055538177</v>
      </c>
      <c r="U331" s="1">
        <v>99913.0248018213</v>
      </c>
      <c r="V331" s="1">
        <v>5.47895240783691</v>
      </c>
      <c r="X331" s="1">
        <v>652612.710044614</v>
      </c>
      <c r="Y331" s="1">
        <v>17.5801401138305</v>
      </c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D332" s="1" t="s">
        <v>32</v>
      </c>
      <c r="E332" s="1">
        <v>80.0</v>
      </c>
      <c r="F332" s="1">
        <v>25.0</v>
      </c>
      <c r="H332" s="1">
        <v>674675.262471873</v>
      </c>
      <c r="I332" s="1">
        <v>8.21554088592529</v>
      </c>
      <c r="J332" s="1">
        <v>743830.0</v>
      </c>
      <c r="K332" s="1">
        <v>714436.0</v>
      </c>
      <c r="L332" s="1">
        <v>714436.0</v>
      </c>
      <c r="M332" s="1">
        <v>21.2758548259735</v>
      </c>
      <c r="N332" s="1">
        <v>1107.0</v>
      </c>
      <c r="O332" s="5">
        <f t="shared" si="31"/>
        <v>0</v>
      </c>
      <c r="Q332" s="1">
        <v>674996.150841395</v>
      </c>
      <c r="S332" s="1">
        <v>50.8224415779113</v>
      </c>
      <c r="U332" s="1">
        <v>101371.130846491</v>
      </c>
      <c r="V332" s="1">
        <v>8.38746428489685</v>
      </c>
      <c r="X332" s="1">
        <v>662599.849919111</v>
      </c>
      <c r="Y332" s="1">
        <v>20.9545874595642</v>
      </c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D333" s="1" t="s">
        <v>33</v>
      </c>
      <c r="E333" s="1">
        <v>80.0</v>
      </c>
      <c r="F333" s="1">
        <v>25.0</v>
      </c>
      <c r="H333" s="1">
        <v>725671.556525667</v>
      </c>
      <c r="I333" s="1">
        <v>8.24417209625244</v>
      </c>
      <c r="J333" s="1">
        <v>868145.0</v>
      </c>
      <c r="K333" s="1">
        <v>790978.999999999</v>
      </c>
      <c r="L333" s="1">
        <v>790978.999999999</v>
      </c>
      <c r="M333" s="1">
        <v>123.723961830139</v>
      </c>
      <c r="N333" s="1">
        <v>9359.0</v>
      </c>
      <c r="O333" s="5">
        <f t="shared" si="31"/>
        <v>0</v>
      </c>
      <c r="Q333" s="1">
        <v>726002.138282915</v>
      </c>
      <c r="S333" s="1">
        <v>53.0494475364685</v>
      </c>
      <c r="U333" s="1">
        <v>101454.31261358</v>
      </c>
      <c r="V333" s="1">
        <v>5.53259873390197</v>
      </c>
      <c r="X333" s="1">
        <v>713501.236735285</v>
      </c>
      <c r="Y333" s="1">
        <v>22.4869656562805</v>
      </c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D334" s="1" t="s">
        <v>34</v>
      </c>
      <c r="E334" s="1">
        <v>80.0</v>
      </c>
      <c r="F334" s="1">
        <v>25.0</v>
      </c>
      <c r="H334" s="1">
        <v>675069.820207594</v>
      </c>
      <c r="I334" s="1">
        <v>8.23423933982849</v>
      </c>
      <c r="J334" s="1">
        <v>791649.0</v>
      </c>
      <c r="K334" s="1">
        <v>726254.999999999</v>
      </c>
      <c r="L334" s="1">
        <v>726254.999999999</v>
      </c>
      <c r="M334" s="1">
        <v>39.3949825763702</v>
      </c>
      <c r="N334" s="1">
        <v>2619.0</v>
      </c>
      <c r="O334" s="5">
        <f t="shared" si="31"/>
        <v>0</v>
      </c>
      <c r="Q334" s="1">
        <v>675378.729634092</v>
      </c>
      <c r="S334" s="1">
        <v>52.852392911911</v>
      </c>
      <c r="U334" s="1">
        <v>100094.004230865</v>
      </c>
      <c r="V334" s="1">
        <v>5.83736324310302</v>
      </c>
      <c r="X334" s="1">
        <v>661388.477075566</v>
      </c>
      <c r="Y334" s="1">
        <v>10.8618447780609</v>
      </c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D335" s="1" t="s">
        <v>35</v>
      </c>
      <c r="E335" s="1">
        <v>80.0</v>
      </c>
      <c r="F335" s="1">
        <v>25.0</v>
      </c>
      <c r="H335" s="1">
        <v>641078.080545948</v>
      </c>
      <c r="I335" s="1">
        <v>8.26971626281738</v>
      </c>
      <c r="J335" s="1">
        <v>681459.999999999</v>
      </c>
      <c r="K335" s="1">
        <v>677308.999999999</v>
      </c>
      <c r="L335" s="1">
        <v>677308.999999999</v>
      </c>
      <c r="M335" s="1">
        <v>22.2149872779846</v>
      </c>
      <c r="N335" s="1">
        <v>1279.0</v>
      </c>
      <c r="O335" s="5">
        <f t="shared" si="31"/>
        <v>0</v>
      </c>
      <c r="Q335" s="1">
        <v>641393.235471843</v>
      </c>
      <c r="S335" s="1">
        <v>55.7325704097747</v>
      </c>
      <c r="U335" s="1">
        <v>98459.2517930464</v>
      </c>
      <c r="V335" s="1">
        <v>5.70849776268005</v>
      </c>
      <c r="X335" s="1">
        <v>627915.213989597</v>
      </c>
      <c r="Y335" s="1">
        <v>21.2900288105011</v>
      </c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D336" s="1" t="s">
        <v>36</v>
      </c>
      <c r="E336" s="1">
        <v>80.0</v>
      </c>
      <c r="F336" s="1">
        <v>25.0</v>
      </c>
      <c r="H336" s="1">
        <v>652858.573355738</v>
      </c>
      <c r="I336" s="1">
        <v>8.26238703727722</v>
      </c>
      <c r="J336" s="1">
        <v>665547.0</v>
      </c>
      <c r="K336" s="1">
        <v>665547.0</v>
      </c>
      <c r="L336" s="1">
        <v>665547.0</v>
      </c>
      <c r="M336" s="1">
        <v>10.2116496562957</v>
      </c>
      <c r="N336" s="1">
        <v>207.0</v>
      </c>
      <c r="O336" s="5">
        <f t="shared" si="31"/>
        <v>0</v>
      </c>
      <c r="Q336" s="1">
        <v>653202.660891444</v>
      </c>
      <c r="S336" s="1">
        <v>73.1562783718109</v>
      </c>
      <c r="U336" s="1">
        <v>100322.617587871</v>
      </c>
      <c r="V336" s="1">
        <v>31.685934305191</v>
      </c>
      <c r="X336" s="1">
        <v>645421.890511409</v>
      </c>
      <c r="Y336" s="1">
        <v>17.6808431148529</v>
      </c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D337" s="1" t="s">
        <v>37</v>
      </c>
      <c r="E337" s="1">
        <v>80.0</v>
      </c>
      <c r="F337" s="1">
        <v>25.0</v>
      </c>
      <c r="H337" s="1">
        <v>670856.655679802</v>
      </c>
      <c r="I337" s="1">
        <v>8.28305697441101</v>
      </c>
      <c r="J337" s="1">
        <v>698386.0</v>
      </c>
      <c r="K337" s="1">
        <v>688778.999999999</v>
      </c>
      <c r="L337" s="1">
        <v>688778.999999999</v>
      </c>
      <c r="M337" s="1">
        <v>12.5056810379028</v>
      </c>
      <c r="N337" s="1">
        <v>371.0</v>
      </c>
      <c r="O337" s="5">
        <f t="shared" si="31"/>
        <v>0</v>
      </c>
      <c r="Q337" s="1">
        <v>671160.03778712</v>
      </c>
      <c r="S337" s="1">
        <v>58.6375229358673</v>
      </c>
      <c r="U337" s="1">
        <v>102620.422598329</v>
      </c>
      <c r="V337" s="1">
        <v>6.03539943695068</v>
      </c>
      <c r="X337" s="1">
        <v>656965.585418314</v>
      </c>
      <c r="Y337" s="1">
        <v>20.4825944900512</v>
      </c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D338" s="1" t="s">
        <v>38</v>
      </c>
      <c r="E338" s="1">
        <v>80.0</v>
      </c>
      <c r="F338" s="1">
        <v>25.0</v>
      </c>
      <c r="H338" s="1">
        <v>641379.509643966</v>
      </c>
      <c r="I338" s="1">
        <v>8.25987648963928</v>
      </c>
      <c r="J338" s="1">
        <v>701994.0</v>
      </c>
      <c r="K338" s="1">
        <v>686861.0</v>
      </c>
      <c r="L338" s="1">
        <v>686861.0</v>
      </c>
      <c r="M338" s="1">
        <v>67.3000111579895</v>
      </c>
      <c r="N338" s="1">
        <v>4851.0</v>
      </c>
      <c r="O338" s="5">
        <f t="shared" si="31"/>
        <v>0</v>
      </c>
      <c r="Q338" s="1">
        <v>641691.290616597</v>
      </c>
      <c r="S338" s="1">
        <v>49.0508067607879</v>
      </c>
      <c r="U338" s="1">
        <v>98971.1449283542</v>
      </c>
      <c r="V338" s="1">
        <v>6.57893562316894</v>
      </c>
      <c r="X338" s="1">
        <v>627939.922372067</v>
      </c>
      <c r="Y338" s="1">
        <v>14.9264907836914</v>
      </c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D339" s="1" t="s">
        <v>39</v>
      </c>
      <c r="E339" s="1">
        <v>80.0</v>
      </c>
      <c r="F339" s="1">
        <v>25.0</v>
      </c>
      <c r="H339" s="1">
        <v>620849.435865084</v>
      </c>
      <c r="I339" s="1">
        <v>8.23388361930847</v>
      </c>
      <c r="J339" s="1">
        <v>663054.0</v>
      </c>
      <c r="K339" s="1">
        <v>663054.0</v>
      </c>
      <c r="L339" s="1">
        <v>663054.0</v>
      </c>
      <c r="M339" s="1">
        <v>21.9886527061462</v>
      </c>
      <c r="N339" s="1">
        <v>1325.0</v>
      </c>
      <c r="O339" s="5">
        <f t="shared" si="31"/>
        <v>0</v>
      </c>
      <c r="Q339" s="1">
        <v>621196.56588369</v>
      </c>
      <c r="S339" s="1">
        <v>107.431762456893</v>
      </c>
      <c r="U339" s="1">
        <v>98428.2195525028</v>
      </c>
      <c r="V339" s="1">
        <v>16.3287386894226</v>
      </c>
      <c r="X339" s="1">
        <v>613346.643009225</v>
      </c>
      <c r="Y339" s="1">
        <v>14.6776716709136</v>
      </c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D340" s="1" t="s">
        <v>40</v>
      </c>
      <c r="E340" s="1">
        <v>80.0</v>
      </c>
      <c r="F340" s="1">
        <v>25.0</v>
      </c>
      <c r="H340" s="1">
        <v>669847.15790846</v>
      </c>
      <c r="I340" s="1">
        <v>8.24537587165832</v>
      </c>
      <c r="J340" s="1">
        <v>752609.0</v>
      </c>
      <c r="K340" s="1">
        <v>704189.999999999</v>
      </c>
      <c r="L340" s="1">
        <v>704189.999999999</v>
      </c>
      <c r="M340" s="1">
        <v>21.4625577926635</v>
      </c>
      <c r="N340" s="1">
        <v>1127.0</v>
      </c>
      <c r="O340" s="5">
        <f t="shared" si="31"/>
        <v>0</v>
      </c>
      <c r="Q340" s="1">
        <v>670130.649938924</v>
      </c>
      <c r="S340" s="1">
        <v>47.6638383865356</v>
      </c>
      <c r="U340" s="1">
        <v>102934.987311437</v>
      </c>
      <c r="V340" s="1">
        <v>7.96588802337646</v>
      </c>
      <c r="X340" s="1">
        <v>658008.909357519</v>
      </c>
      <c r="Y340" s="1">
        <v>22.5341465473175</v>
      </c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D341" s="1" t="s">
        <v>41</v>
      </c>
      <c r="E341" s="1">
        <v>80.0</v>
      </c>
      <c r="F341" s="1">
        <v>25.0</v>
      </c>
      <c r="H341" s="1">
        <v>671831.011287069</v>
      </c>
      <c r="I341" s="1">
        <v>8.2970552444458</v>
      </c>
      <c r="J341" s="1">
        <v>725479.0</v>
      </c>
      <c r="K341" s="1">
        <v>703061.999999999</v>
      </c>
      <c r="L341" s="1">
        <v>703061.999999999</v>
      </c>
      <c r="M341" s="1">
        <v>15.4264974594116</v>
      </c>
      <c r="N341" s="1">
        <v>659.0</v>
      </c>
      <c r="O341" s="5">
        <f t="shared" si="31"/>
        <v>0</v>
      </c>
      <c r="Q341" s="1">
        <v>672105.803557208</v>
      </c>
      <c r="S341" s="1">
        <v>32.6869158744812</v>
      </c>
      <c r="U341" s="1">
        <v>99652.9829983472</v>
      </c>
      <c r="V341" s="1">
        <v>5.49359226226806</v>
      </c>
      <c r="X341" s="1">
        <v>657562.123676104</v>
      </c>
      <c r="Y341" s="1">
        <v>16.4329977035522</v>
      </c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D342" s="1" t="s">
        <v>42</v>
      </c>
      <c r="E342" s="1">
        <v>80.0</v>
      </c>
      <c r="F342" s="1">
        <v>25.0</v>
      </c>
      <c r="H342" s="1">
        <v>642315.890390112</v>
      </c>
      <c r="I342" s="1">
        <v>8.25868201255798</v>
      </c>
      <c r="J342" s="1">
        <v>718110.999999999</v>
      </c>
      <c r="K342" s="1">
        <v>670773.0</v>
      </c>
      <c r="L342" s="1">
        <v>670773.0</v>
      </c>
      <c r="M342" s="1">
        <v>27.8988344669342</v>
      </c>
      <c r="N342" s="1">
        <v>1661.0</v>
      </c>
      <c r="O342" s="5">
        <f t="shared" si="31"/>
        <v>0</v>
      </c>
      <c r="Q342" s="1">
        <v>642650.480062641</v>
      </c>
      <c r="S342" s="1">
        <v>50.0355410575866</v>
      </c>
      <c r="U342" s="1">
        <v>100033.087864366</v>
      </c>
      <c r="V342" s="1">
        <v>5.9843578338623</v>
      </c>
      <c r="X342" s="1">
        <v>628614.092831198</v>
      </c>
      <c r="Y342" s="1">
        <v>19.2226684093475</v>
      </c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D343" s="1" t="s">
        <v>43</v>
      </c>
      <c r="E343" s="1">
        <v>80.0</v>
      </c>
      <c r="F343" s="1">
        <v>25.0</v>
      </c>
      <c r="H343" s="1">
        <v>667593.721472727</v>
      </c>
      <c r="I343" s="1">
        <v>8.21556234359741</v>
      </c>
      <c r="J343" s="1">
        <v>711614.999999999</v>
      </c>
      <c r="K343" s="1">
        <v>709402.999999999</v>
      </c>
      <c r="L343" s="1">
        <v>709402.999999999</v>
      </c>
      <c r="M343" s="1">
        <v>15.1837294101715</v>
      </c>
      <c r="N343" s="1">
        <v>655.0</v>
      </c>
      <c r="O343" s="5">
        <f t="shared" si="31"/>
        <v>0</v>
      </c>
      <c r="Q343" s="1">
        <v>668009.964992639</v>
      </c>
      <c r="S343" s="1">
        <v>108.547981023788</v>
      </c>
      <c r="U343" s="1">
        <v>101755.992601959</v>
      </c>
      <c r="V343" s="1">
        <v>6.15632534027099</v>
      </c>
      <c r="X343" s="1">
        <v>662893.002267446</v>
      </c>
      <c r="Y343" s="1">
        <v>27.2297654151916</v>
      </c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D344" s="1" t="s">
        <v>44</v>
      </c>
      <c r="E344" s="1">
        <v>80.0</v>
      </c>
      <c r="F344" s="1">
        <v>25.0</v>
      </c>
      <c r="H344" s="1">
        <v>632971.115510796</v>
      </c>
      <c r="I344" s="1">
        <v>8.22612643241882</v>
      </c>
      <c r="J344" s="1">
        <v>693152.0</v>
      </c>
      <c r="K344" s="1">
        <v>674741.999999999</v>
      </c>
      <c r="L344" s="1">
        <v>674741.999999999</v>
      </c>
      <c r="M344" s="1">
        <v>16.8188230991363</v>
      </c>
      <c r="N344" s="1">
        <v>809.0</v>
      </c>
      <c r="O344" s="5">
        <f t="shared" si="31"/>
        <v>0</v>
      </c>
      <c r="Q344" s="1">
        <v>633220.34734376</v>
      </c>
      <c r="S344" s="1">
        <v>70.9928541183471</v>
      </c>
      <c r="U344" s="1">
        <v>101553.003839713</v>
      </c>
      <c r="V344" s="1">
        <v>6.14621210098266</v>
      </c>
      <c r="X344" s="1">
        <v>626655.160250313</v>
      </c>
      <c r="Y344" s="1">
        <v>21.5826344490051</v>
      </c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D345" s="1" t="s">
        <v>45</v>
      </c>
      <c r="E345" s="1">
        <v>80.0</v>
      </c>
      <c r="F345" s="1">
        <v>25.0</v>
      </c>
      <c r="H345" s="1">
        <v>648635.294570944</v>
      </c>
      <c r="I345" s="1">
        <v>8.24145364761352</v>
      </c>
      <c r="J345" s="1">
        <v>690338.0</v>
      </c>
      <c r="K345" s="1">
        <v>686218.999999999</v>
      </c>
      <c r="L345" s="1">
        <v>686218.999999999</v>
      </c>
      <c r="M345" s="1">
        <v>13.7859542369842</v>
      </c>
      <c r="N345" s="1">
        <v>563.0</v>
      </c>
      <c r="O345" s="5">
        <f t="shared" si="31"/>
        <v>0</v>
      </c>
      <c r="Q345" s="1">
        <v>648946.26891673</v>
      </c>
      <c r="S345" s="1">
        <v>94.788033246994</v>
      </c>
      <c r="U345" s="1">
        <v>103843.004684039</v>
      </c>
      <c r="V345" s="1">
        <v>7.13555073738098</v>
      </c>
      <c r="X345" s="1">
        <v>643149.243853534</v>
      </c>
      <c r="Y345" s="1">
        <v>20.5249536037445</v>
      </c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D346" s="1"/>
      <c r="E346" s="6">
        <f t="shared" ref="E346:F346" si="32">AVERAGE(E316:E345)</f>
        <v>80</v>
      </c>
      <c r="F346" s="6">
        <f t="shared" si="32"/>
        <v>25</v>
      </c>
      <c r="H346" s="6">
        <f t="shared" ref="H346:O346" si="33">AVERAGE(H316:H345)</f>
        <v>658077.564</v>
      </c>
      <c r="I346" s="6">
        <f t="shared" si="33"/>
        <v>8.240489316</v>
      </c>
      <c r="J346" s="6">
        <f t="shared" si="33"/>
        <v>737711.8333</v>
      </c>
      <c r="K346" s="6">
        <f t="shared" si="33"/>
        <v>703121.2667</v>
      </c>
      <c r="L346" s="6">
        <f t="shared" si="33"/>
        <v>703121.2667</v>
      </c>
      <c r="M346" s="6">
        <f t="shared" si="33"/>
        <v>50.76581528</v>
      </c>
      <c r="N346" s="6">
        <f t="shared" si="33"/>
        <v>3603</v>
      </c>
      <c r="O346" s="6">
        <f t="shared" si="33"/>
        <v>0</v>
      </c>
      <c r="Q346" s="6">
        <f>AVERAGE(Q316:Q345)</f>
        <v>658386.7844</v>
      </c>
      <c r="S346" s="6">
        <f>AVERAGE(S316:S345)</f>
        <v>64.97258591</v>
      </c>
    </row>
    <row r="347">
      <c r="D347" s="1" t="s">
        <v>16</v>
      </c>
      <c r="E347" s="1">
        <v>80.0</v>
      </c>
      <c r="F347" s="1">
        <v>30.0</v>
      </c>
      <c r="H347" s="1">
        <v>919293.738403018</v>
      </c>
      <c r="I347" s="1">
        <v>8.399986743927</v>
      </c>
      <c r="J347" s="1">
        <v>948328.0</v>
      </c>
      <c r="K347" s="1">
        <v>948327.999999999</v>
      </c>
      <c r="L347" s="1">
        <v>948327.999999999</v>
      </c>
      <c r="M347" s="1">
        <v>17.1778533458709</v>
      </c>
      <c r="N347" s="1">
        <v>865.0</v>
      </c>
      <c r="O347" s="5">
        <f t="shared" ref="O347:O376" si="34">100*(K347-L347)/K347</f>
        <v>0</v>
      </c>
      <c r="Q347" s="1">
        <v>919582.979142933</v>
      </c>
      <c r="S347" s="1">
        <v>70.7485721111297</v>
      </c>
      <c r="U347" s="1">
        <v>109606.122025438</v>
      </c>
      <c r="V347" s="1">
        <v>5.09704780578613</v>
      </c>
      <c r="X347" s="1">
        <v>909236.824088946</v>
      </c>
      <c r="Y347" s="1">
        <v>12.8417627811431</v>
      </c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D348" s="1" t="s">
        <v>17</v>
      </c>
      <c r="E348" s="1">
        <v>80.0</v>
      </c>
      <c r="F348" s="1">
        <v>30.0</v>
      </c>
      <c r="H348" s="1">
        <v>1013223.14299338</v>
      </c>
      <c r="I348" s="1">
        <v>8.41300725936889</v>
      </c>
      <c r="J348" s="1">
        <v>1070442.0</v>
      </c>
      <c r="K348" s="1">
        <v>1070442.0</v>
      </c>
      <c r="L348" s="1">
        <v>1070442.0</v>
      </c>
      <c r="M348" s="1">
        <v>25.4833259582519</v>
      </c>
      <c r="N348" s="1">
        <v>1695.0</v>
      </c>
      <c r="O348" s="5">
        <f t="shared" si="34"/>
        <v>0</v>
      </c>
      <c r="Q348" s="1">
        <v>1013483.78442348</v>
      </c>
      <c r="S348" s="1">
        <v>31.5407283306121</v>
      </c>
      <c r="U348" s="1">
        <v>111072.06404539</v>
      </c>
      <c r="V348" s="1">
        <v>7.06212019920349</v>
      </c>
      <c r="X348" s="1">
        <v>1001058.34046758</v>
      </c>
      <c r="Y348" s="1">
        <v>15.8305287361145</v>
      </c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D349" s="1" t="s">
        <v>18</v>
      </c>
      <c r="E349" s="1">
        <v>80.0</v>
      </c>
      <c r="F349" s="1">
        <v>30.0</v>
      </c>
      <c r="H349" s="1">
        <v>881345.509345525</v>
      </c>
      <c r="I349" s="1">
        <v>8.40269756317138</v>
      </c>
      <c r="J349" s="1">
        <v>895755.999999999</v>
      </c>
      <c r="K349" s="1">
        <v>895755.999999999</v>
      </c>
      <c r="L349" s="1">
        <v>895755.999999999</v>
      </c>
      <c r="M349" s="1">
        <v>10.5152230262756</v>
      </c>
      <c r="N349" s="1">
        <v>219.0</v>
      </c>
      <c r="O349" s="5">
        <f t="shared" si="34"/>
        <v>0</v>
      </c>
      <c r="Q349" s="1">
        <v>881578.097090631</v>
      </c>
      <c r="S349" s="1">
        <v>54.5215451717376</v>
      </c>
      <c r="U349" s="1">
        <v>109061.012229034</v>
      </c>
      <c r="V349" s="1">
        <v>6.55452251434326</v>
      </c>
      <c r="X349" s="1">
        <v>872829.274601255</v>
      </c>
      <c r="Y349" s="1">
        <v>13.4755461215972</v>
      </c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D350" s="1" t="s">
        <v>19</v>
      </c>
      <c r="E350" s="1">
        <v>80.0</v>
      </c>
      <c r="F350" s="1">
        <v>30.0</v>
      </c>
      <c r="H350" s="1">
        <v>1016776.72788678</v>
      </c>
      <c r="I350" s="1">
        <v>8.42512583732605</v>
      </c>
      <c r="J350" s="1">
        <v>1084791.0</v>
      </c>
      <c r="K350" s="1">
        <v>1059008.99999999</v>
      </c>
      <c r="L350" s="1">
        <v>1059008.99999999</v>
      </c>
      <c r="M350" s="1">
        <v>22.4343228340148</v>
      </c>
      <c r="N350" s="1">
        <v>1279.0</v>
      </c>
      <c r="O350" s="5">
        <f t="shared" si="34"/>
        <v>0</v>
      </c>
      <c r="Q350" s="1">
        <v>1017098.19517349</v>
      </c>
      <c r="S350" s="1">
        <v>55.80708527565</v>
      </c>
      <c r="U350" s="1">
        <v>110808.877692842</v>
      </c>
      <c r="V350" s="1">
        <v>18.5599100589752</v>
      </c>
      <c r="X350" s="1">
        <v>993558.410818255</v>
      </c>
      <c r="Y350" s="1">
        <v>15.069554567337</v>
      </c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D351" s="1" t="s">
        <v>20</v>
      </c>
      <c r="E351" s="1">
        <v>80.0</v>
      </c>
      <c r="F351" s="1">
        <v>30.0</v>
      </c>
      <c r="H351" s="1">
        <v>1004956.85257349</v>
      </c>
      <c r="I351" s="1">
        <v>8.42361402511596</v>
      </c>
      <c r="J351" s="1">
        <v>1063038.0</v>
      </c>
      <c r="K351" s="1">
        <v>1040866.99999999</v>
      </c>
      <c r="L351" s="1">
        <v>1040866.99999999</v>
      </c>
      <c r="M351" s="1">
        <v>34.4759874343872</v>
      </c>
      <c r="N351" s="1">
        <v>2245.0</v>
      </c>
      <c r="O351" s="5">
        <f t="shared" si="34"/>
        <v>0</v>
      </c>
      <c r="Q351" s="1">
        <v>1005295.24886183</v>
      </c>
      <c r="S351" s="1">
        <v>55.0095319747924</v>
      </c>
      <c r="U351" s="1">
        <v>112238.107349549</v>
      </c>
      <c r="V351" s="1">
        <v>23.0019781589508</v>
      </c>
      <c r="X351" s="1">
        <v>981049.846331062</v>
      </c>
      <c r="Y351" s="1">
        <v>14.3924987316131</v>
      </c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D352" s="1" t="s">
        <v>21</v>
      </c>
      <c r="E352" s="1">
        <v>80.0</v>
      </c>
      <c r="F352" s="1">
        <v>30.0</v>
      </c>
      <c r="H352" s="1">
        <v>941324.809786779</v>
      </c>
      <c r="I352" s="1">
        <v>8.40096282958984</v>
      </c>
      <c r="J352" s="1">
        <v>952791.0</v>
      </c>
      <c r="K352" s="1">
        <v>952791.0</v>
      </c>
      <c r="L352" s="1">
        <v>952791.0</v>
      </c>
      <c r="M352" s="1">
        <v>10.294225692749</v>
      </c>
      <c r="N352" s="1">
        <v>205.0</v>
      </c>
      <c r="O352" s="5">
        <f t="shared" si="34"/>
        <v>0</v>
      </c>
      <c r="Q352" s="1">
        <v>941708.522407757</v>
      </c>
      <c r="S352" s="1">
        <v>103.427116632461</v>
      </c>
      <c r="U352" s="1">
        <v>112055.954497337</v>
      </c>
      <c r="V352" s="1">
        <v>6.29084348678588</v>
      </c>
      <c r="X352" s="1">
        <v>923805.578407406</v>
      </c>
      <c r="Y352" s="1">
        <v>16.282047510147</v>
      </c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D353" s="1" t="s">
        <v>22</v>
      </c>
      <c r="E353" s="1">
        <v>80.0</v>
      </c>
      <c r="F353" s="1">
        <v>30.0</v>
      </c>
      <c r="H353" s="1">
        <v>1043000.7553685</v>
      </c>
      <c r="I353" s="1">
        <v>8.39850282669067</v>
      </c>
      <c r="J353" s="1">
        <v>1160342.0</v>
      </c>
      <c r="K353" s="1">
        <v>1089934.99999999</v>
      </c>
      <c r="L353" s="1">
        <v>1089934.99999999</v>
      </c>
      <c r="M353" s="1">
        <v>15.5459179878234</v>
      </c>
      <c r="N353" s="1">
        <v>665.0</v>
      </c>
      <c r="O353" s="5">
        <f t="shared" si="34"/>
        <v>0</v>
      </c>
      <c r="Q353" s="1">
        <v>1043330.90839041</v>
      </c>
      <c r="S353" s="1">
        <v>109.079082250595</v>
      </c>
      <c r="U353" s="1">
        <v>110896.270046592</v>
      </c>
      <c r="V353" s="1">
        <v>5.65398454666137</v>
      </c>
      <c r="X353" s="1">
        <v>1022734.40310312</v>
      </c>
      <c r="Y353" s="1">
        <v>13.2203216552734</v>
      </c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D354" s="1" t="s">
        <v>23</v>
      </c>
      <c r="E354" s="1">
        <v>80.0</v>
      </c>
      <c r="F354" s="1">
        <v>30.0</v>
      </c>
      <c r="H354" s="1">
        <v>1019986.50236073</v>
      </c>
      <c r="I354" s="1">
        <v>8.3837616443634</v>
      </c>
      <c r="J354" s="1">
        <v>1073904.0</v>
      </c>
      <c r="K354" s="1">
        <v>1067624.0</v>
      </c>
      <c r="L354" s="1">
        <v>1067624.0</v>
      </c>
      <c r="M354" s="1">
        <v>21.6969983577728</v>
      </c>
      <c r="N354" s="1">
        <v>1257.0</v>
      </c>
      <c r="O354" s="5">
        <f t="shared" si="34"/>
        <v>0</v>
      </c>
      <c r="Q354" s="1">
        <v>1020256.691297</v>
      </c>
      <c r="S354" s="1">
        <v>40.0424718856811</v>
      </c>
      <c r="U354" s="1">
        <v>109511.842674091</v>
      </c>
      <c r="V354" s="1">
        <v>5.30360722541809</v>
      </c>
      <c r="X354" s="1">
        <v>1003830.53590614</v>
      </c>
      <c r="Y354" s="1">
        <v>12.6184518337249</v>
      </c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D355" s="1" t="s">
        <v>24</v>
      </c>
      <c r="E355" s="1">
        <v>80.0</v>
      </c>
      <c r="F355" s="1">
        <v>30.0</v>
      </c>
      <c r="H355" s="1">
        <v>994894.486950944</v>
      </c>
      <c r="I355" s="1">
        <v>8.4082646369934</v>
      </c>
      <c r="J355" s="1">
        <v>1010239.0</v>
      </c>
      <c r="K355" s="1">
        <v>1010238.99999999</v>
      </c>
      <c r="L355" s="1">
        <v>1010238.99999999</v>
      </c>
      <c r="M355" s="1">
        <v>13.0145409107208</v>
      </c>
      <c r="N355" s="1">
        <v>457.0</v>
      </c>
      <c r="O355" s="5">
        <f t="shared" si="34"/>
        <v>0</v>
      </c>
      <c r="Q355" s="1">
        <v>995281.625660544</v>
      </c>
      <c r="S355" s="1">
        <v>56.7821414470672</v>
      </c>
      <c r="U355" s="1">
        <v>109717.202513707</v>
      </c>
      <c r="V355" s="1">
        <v>7.63836956024169</v>
      </c>
      <c r="X355" s="1">
        <v>977719.354880604</v>
      </c>
      <c r="Y355" s="1">
        <v>26.0344083309173</v>
      </c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D356" s="1" t="s">
        <v>25</v>
      </c>
      <c r="E356" s="1">
        <v>80.0</v>
      </c>
      <c r="F356" s="1">
        <v>30.0</v>
      </c>
      <c r="H356" s="1">
        <v>1080251.82343768</v>
      </c>
      <c r="I356" s="1">
        <v>8.42218399047851</v>
      </c>
      <c r="J356" s="1">
        <v>1175354.0</v>
      </c>
      <c r="K356" s="1">
        <v>1135627.99999999</v>
      </c>
      <c r="L356" s="1">
        <v>1135627.99999999</v>
      </c>
      <c r="M356" s="1">
        <v>33.2543268203735</v>
      </c>
      <c r="N356" s="1">
        <v>2181.0</v>
      </c>
      <c r="O356" s="5">
        <f t="shared" si="34"/>
        <v>0</v>
      </c>
      <c r="Q356" s="1">
        <v>1080682.8830331</v>
      </c>
      <c r="S356" s="1">
        <v>66.5214772224426</v>
      </c>
      <c r="U356" s="1">
        <v>111538.735612483</v>
      </c>
      <c r="V356" s="1">
        <v>5.62367272377014</v>
      </c>
      <c r="X356" s="1">
        <v>1058239.34511673</v>
      </c>
      <c r="Y356" s="1">
        <v>17.0364186763763</v>
      </c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D357" s="1" t="s">
        <v>26</v>
      </c>
      <c r="E357" s="1">
        <v>80.0</v>
      </c>
      <c r="F357" s="1">
        <v>30.0</v>
      </c>
      <c r="H357" s="1">
        <v>1037780.34029275</v>
      </c>
      <c r="I357" s="1">
        <v>8.41483283042907</v>
      </c>
      <c r="J357" s="1">
        <v>1111042.0</v>
      </c>
      <c r="K357" s="1">
        <v>1085890.0</v>
      </c>
      <c r="L357" s="1">
        <v>1085890.0</v>
      </c>
      <c r="M357" s="1">
        <v>29.1905341148376</v>
      </c>
      <c r="N357" s="1">
        <v>1897.0</v>
      </c>
      <c r="O357" s="5">
        <f t="shared" si="34"/>
        <v>0</v>
      </c>
      <c r="Q357" s="1">
        <v>1038126.3581286</v>
      </c>
      <c r="S357" s="1">
        <v>65.6711118221283</v>
      </c>
      <c r="U357" s="1">
        <v>112960.669124595</v>
      </c>
      <c r="V357" s="1">
        <v>6.73382329940795</v>
      </c>
      <c r="X357" s="1">
        <v>1017394.05084956</v>
      </c>
      <c r="Y357" s="1">
        <v>11.5198006629943</v>
      </c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D358" s="1" t="s">
        <v>27</v>
      </c>
      <c r="E358" s="1">
        <v>80.0</v>
      </c>
      <c r="F358" s="1">
        <v>30.0</v>
      </c>
      <c r="H358" s="1">
        <v>1009140.23395659</v>
      </c>
      <c r="I358" s="1">
        <v>8.39692974090576</v>
      </c>
      <c r="J358" s="1">
        <v>1035955.0</v>
      </c>
      <c r="K358" s="1">
        <v>1035954.99999999</v>
      </c>
      <c r="L358" s="1">
        <v>1035954.99999999</v>
      </c>
      <c r="M358" s="1">
        <v>12.4639987945556</v>
      </c>
      <c r="N358" s="1">
        <v>409.0</v>
      </c>
      <c r="O358" s="5">
        <f t="shared" si="34"/>
        <v>0</v>
      </c>
      <c r="Q358" s="1">
        <v>1009481.08394019</v>
      </c>
      <c r="S358" s="1">
        <v>71.4452586174011</v>
      </c>
      <c r="U358" s="1">
        <v>108233.993498173</v>
      </c>
      <c r="V358" s="1">
        <v>6.04664802551269</v>
      </c>
      <c r="X358" s="1">
        <v>992688.058038795</v>
      </c>
      <c r="Y358" s="1">
        <v>12.7217769622802</v>
      </c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D359" s="1" t="s">
        <v>28</v>
      </c>
      <c r="E359" s="1">
        <v>80.0</v>
      </c>
      <c r="F359" s="1">
        <v>30.0</v>
      </c>
      <c r="H359" s="1">
        <v>990393.543604989</v>
      </c>
      <c r="I359" s="1">
        <v>8.42378067970275</v>
      </c>
      <c r="J359" s="1">
        <v>1087772.0</v>
      </c>
      <c r="K359" s="1">
        <v>1025417.99999999</v>
      </c>
      <c r="L359" s="1">
        <v>1025417.99999999</v>
      </c>
      <c r="M359" s="1">
        <v>15.6549451351165</v>
      </c>
      <c r="N359" s="1">
        <v>657.0</v>
      </c>
      <c r="O359" s="5">
        <f t="shared" si="34"/>
        <v>0</v>
      </c>
      <c r="Q359" s="1">
        <v>990755.779731036</v>
      </c>
      <c r="S359" s="1">
        <v>71.3020048141479</v>
      </c>
      <c r="U359" s="1">
        <v>110363.045680102</v>
      </c>
      <c r="V359" s="1">
        <v>5.40866112709045</v>
      </c>
      <c r="X359" s="1">
        <v>965511.773576254</v>
      </c>
      <c r="Y359" s="1">
        <v>15.1309406757354</v>
      </c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D360" s="1" t="s">
        <v>29</v>
      </c>
      <c r="E360" s="1">
        <v>80.0</v>
      </c>
      <c r="F360" s="1">
        <v>30.0</v>
      </c>
      <c r="H360" s="1">
        <v>981566.826869351</v>
      </c>
      <c r="I360" s="1">
        <v>8.4413046836853</v>
      </c>
      <c r="J360" s="1">
        <v>1020768.0</v>
      </c>
      <c r="K360" s="1">
        <v>1020768.0</v>
      </c>
      <c r="L360" s="1">
        <v>1020768.0</v>
      </c>
      <c r="M360" s="1">
        <v>22.7687864303588</v>
      </c>
      <c r="N360" s="1">
        <v>1373.0</v>
      </c>
      <c r="O360" s="5">
        <f t="shared" si="34"/>
        <v>0</v>
      </c>
      <c r="Q360" s="1">
        <v>982026.251412159</v>
      </c>
      <c r="S360" s="1">
        <v>65.700885772705</v>
      </c>
      <c r="U360" s="1">
        <v>109899.981307914</v>
      </c>
      <c r="V360" s="1">
        <v>5.49863767623901</v>
      </c>
      <c r="X360" s="1">
        <v>967951.752503734</v>
      </c>
      <c r="Y360" s="1">
        <v>17.0641872882843</v>
      </c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D361" s="1" t="s">
        <v>30</v>
      </c>
      <c r="E361" s="1">
        <v>80.0</v>
      </c>
      <c r="F361" s="1">
        <v>30.0</v>
      </c>
      <c r="H361" s="1">
        <v>1076921.32143493</v>
      </c>
      <c r="I361" s="1">
        <v>8.38448143005371</v>
      </c>
      <c r="J361" s="1">
        <v>1186663.99999999</v>
      </c>
      <c r="K361" s="1">
        <v>1130129.99999999</v>
      </c>
      <c r="L361" s="1">
        <v>1130129.99999999</v>
      </c>
      <c r="M361" s="1">
        <v>37.0787205696105</v>
      </c>
      <c r="N361" s="1">
        <v>2377.0</v>
      </c>
      <c r="O361" s="5">
        <f t="shared" si="34"/>
        <v>0</v>
      </c>
      <c r="Q361" s="1">
        <v>1077258.60358095</v>
      </c>
      <c r="S361" s="1">
        <v>45.9622011184692</v>
      </c>
      <c r="U361" s="1">
        <v>110559.999741291</v>
      </c>
      <c r="V361" s="1">
        <v>5.27718901634216</v>
      </c>
      <c r="X361" s="1">
        <v>1054986.23038615</v>
      </c>
      <c r="Y361" s="1">
        <v>20.8674414157867</v>
      </c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D362" s="1" t="s">
        <v>31</v>
      </c>
      <c r="E362" s="1">
        <v>80.0</v>
      </c>
      <c r="F362" s="1">
        <v>30.0</v>
      </c>
      <c r="H362" s="1">
        <v>1019539.48811726</v>
      </c>
      <c r="I362" s="1">
        <v>8.43883419036865</v>
      </c>
      <c r="J362" s="1">
        <v>1071678.99999999</v>
      </c>
      <c r="K362" s="1">
        <v>1067239.99999999</v>
      </c>
      <c r="L362" s="1">
        <v>1067239.99999999</v>
      </c>
      <c r="M362" s="1">
        <v>14.3329761028289</v>
      </c>
      <c r="N362" s="1">
        <v>549.0</v>
      </c>
      <c r="O362" s="5">
        <f t="shared" si="34"/>
        <v>0</v>
      </c>
      <c r="Q362" s="1">
        <v>1019916.05996078</v>
      </c>
      <c r="S362" s="1">
        <v>108.677917480468</v>
      </c>
      <c r="U362" s="1">
        <v>110528.410230628</v>
      </c>
      <c r="V362" s="1">
        <v>5.58427882194519</v>
      </c>
      <c r="X362" s="1">
        <v>1006984.73062868</v>
      </c>
      <c r="Y362" s="1">
        <v>13.3344991207122</v>
      </c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D363" s="1" t="s">
        <v>32</v>
      </c>
      <c r="E363" s="1">
        <v>80.0</v>
      </c>
      <c r="F363" s="1">
        <v>30.0</v>
      </c>
      <c r="H363" s="1">
        <v>1018978.65049047</v>
      </c>
      <c r="I363" s="1">
        <v>8.7519781589508</v>
      </c>
      <c r="J363" s="1">
        <v>1047258.99999999</v>
      </c>
      <c r="K363" s="1">
        <v>1044423.0</v>
      </c>
      <c r="L363" s="1">
        <v>1044423.0</v>
      </c>
      <c r="M363" s="1">
        <v>16.7433042526245</v>
      </c>
      <c r="N363" s="1">
        <v>741.0</v>
      </c>
      <c r="O363" s="5">
        <f t="shared" si="34"/>
        <v>0</v>
      </c>
      <c r="Q363" s="1">
        <v>1019407.14196996</v>
      </c>
      <c r="S363" s="1">
        <v>54.6560714244842</v>
      </c>
      <c r="U363" s="1">
        <v>111886.944533604</v>
      </c>
      <c r="V363" s="1">
        <v>6.86533164978027</v>
      </c>
      <c r="X363" s="1">
        <v>995325.970866118</v>
      </c>
      <c r="Y363" s="1">
        <v>13.1915817260742</v>
      </c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D364" s="1" t="s">
        <v>33</v>
      </c>
      <c r="E364" s="1">
        <v>80.0</v>
      </c>
      <c r="F364" s="1">
        <v>30.0</v>
      </c>
      <c r="H364" s="1">
        <v>1105555.94876108</v>
      </c>
      <c r="I364" s="1">
        <v>8.38474488258361</v>
      </c>
      <c r="J364" s="1">
        <v>1212009.0</v>
      </c>
      <c r="K364" s="1">
        <v>1150846.99999999</v>
      </c>
      <c r="L364" s="1">
        <v>1150846.99999999</v>
      </c>
      <c r="M364" s="1">
        <v>19.8013730049133</v>
      </c>
      <c r="N364" s="1">
        <v>967.0</v>
      </c>
      <c r="O364" s="5">
        <f t="shared" si="34"/>
        <v>0</v>
      </c>
      <c r="Q364" s="1">
        <v>1105971.01147029</v>
      </c>
      <c r="S364" s="1">
        <v>65.0237352848053</v>
      </c>
      <c r="U364" s="1">
        <v>111888.020534563</v>
      </c>
      <c r="V364" s="1">
        <v>5.70537137985229</v>
      </c>
      <c r="X364" s="1">
        <v>1082833.98103565</v>
      </c>
      <c r="Y364" s="1">
        <v>14.5883929729461</v>
      </c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D365" s="1" t="s">
        <v>34</v>
      </c>
      <c r="E365" s="1">
        <v>80.0</v>
      </c>
      <c r="F365" s="1">
        <v>30.0</v>
      </c>
      <c r="H365" s="1">
        <v>1027308.79979257</v>
      </c>
      <c r="I365" s="1">
        <v>8.39992332458496</v>
      </c>
      <c r="J365" s="1">
        <v>1068431.0</v>
      </c>
      <c r="K365" s="1">
        <v>1059690.0</v>
      </c>
      <c r="L365" s="1">
        <v>1059690.0</v>
      </c>
      <c r="M365" s="1">
        <v>14.1657450199127</v>
      </c>
      <c r="N365" s="1">
        <v>533.0</v>
      </c>
      <c r="O365" s="5">
        <f t="shared" si="34"/>
        <v>0</v>
      </c>
      <c r="Q365" s="1">
        <v>1027691.07743368</v>
      </c>
      <c r="S365" s="1">
        <v>54.0930383205413</v>
      </c>
      <c r="U365" s="1">
        <v>110737.998206437</v>
      </c>
      <c r="V365" s="1">
        <v>5.43528032302856</v>
      </c>
      <c r="X365" s="1">
        <v>1002521.84449454</v>
      </c>
      <c r="Y365" s="1">
        <v>14.3062365055084</v>
      </c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D366" s="1" t="s">
        <v>35</v>
      </c>
      <c r="E366" s="1">
        <v>80.0</v>
      </c>
      <c r="F366" s="1">
        <v>30.0</v>
      </c>
      <c r="H366" s="1">
        <v>967979.251559087</v>
      </c>
      <c r="I366" s="1">
        <v>8.44458031654357</v>
      </c>
      <c r="J366" s="1">
        <v>986395.999999999</v>
      </c>
      <c r="K366" s="1">
        <v>986395.999999999</v>
      </c>
      <c r="L366" s="1">
        <v>986395.999999999</v>
      </c>
      <c r="M366" s="1">
        <v>10.4525532722473</v>
      </c>
      <c r="N366" s="1">
        <v>203.0</v>
      </c>
      <c r="O366" s="5">
        <f t="shared" si="34"/>
        <v>0</v>
      </c>
      <c r="Q366" s="1">
        <v>968347.246679853</v>
      </c>
      <c r="S366" s="1">
        <v>54.7144129276275</v>
      </c>
      <c r="U366" s="1">
        <v>109205.002729826</v>
      </c>
      <c r="V366" s="1">
        <v>58.3296122550964</v>
      </c>
      <c r="X366" s="1">
        <v>946752.86988299</v>
      </c>
      <c r="Y366" s="1">
        <v>14.3469321727752</v>
      </c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D367" s="1" t="s">
        <v>36</v>
      </c>
      <c r="E367" s="1">
        <v>80.0</v>
      </c>
      <c r="F367" s="1">
        <v>30.0</v>
      </c>
      <c r="H367" s="1">
        <v>990998.904391413</v>
      </c>
      <c r="I367" s="1">
        <v>8.37644791603088</v>
      </c>
      <c r="J367" s="1">
        <v>999881.0</v>
      </c>
      <c r="K367" s="1">
        <v>999880.999999999</v>
      </c>
      <c r="L367" s="1">
        <v>999880.999999999</v>
      </c>
      <c r="M367" s="1">
        <v>9.46716284751892</v>
      </c>
      <c r="N367" s="1">
        <v>105.0</v>
      </c>
      <c r="O367" s="5">
        <f t="shared" si="34"/>
        <v>0</v>
      </c>
      <c r="Q367" s="1">
        <v>991294.905988286</v>
      </c>
      <c r="S367" s="1">
        <v>56.3678228855133</v>
      </c>
      <c r="U367" s="1">
        <v>110629.001520366</v>
      </c>
      <c r="V367" s="1">
        <v>7.72182750701904</v>
      </c>
      <c r="X367" s="1">
        <v>972169.99742393</v>
      </c>
      <c r="Y367" s="1">
        <v>12.0719776153564</v>
      </c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D368" s="1" t="s">
        <v>37</v>
      </c>
      <c r="E368" s="1">
        <v>80.0</v>
      </c>
      <c r="F368" s="1">
        <v>30.0</v>
      </c>
      <c r="H368" s="1">
        <v>999115.289936448</v>
      </c>
      <c r="I368" s="1">
        <v>8.3961443901062</v>
      </c>
      <c r="J368" s="1">
        <v>1012878.0</v>
      </c>
      <c r="K368" s="1">
        <v>1012878.0</v>
      </c>
      <c r="L368" s="1">
        <v>1012878.0</v>
      </c>
      <c r="M368" s="1">
        <v>11.7840149402618</v>
      </c>
      <c r="N368" s="1">
        <v>327.0</v>
      </c>
      <c r="O368" s="5">
        <f t="shared" si="34"/>
        <v>0</v>
      </c>
      <c r="Q368" s="1">
        <v>999377.063340851</v>
      </c>
      <c r="S368" s="1">
        <v>55.7724211215972</v>
      </c>
      <c r="U368" s="1">
        <v>112510.985201187</v>
      </c>
      <c r="V368" s="1">
        <v>5.39902329444885</v>
      </c>
      <c r="X368" s="1">
        <v>981469.008260301</v>
      </c>
      <c r="Y368" s="1">
        <v>14.4191973209381</v>
      </c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D369" s="1" t="s">
        <v>38</v>
      </c>
      <c r="E369" s="1">
        <v>80.0</v>
      </c>
      <c r="F369" s="1">
        <v>30.0</v>
      </c>
      <c r="H369" s="1">
        <v>965790.858992911</v>
      </c>
      <c r="I369" s="1">
        <v>8.40929865837097</v>
      </c>
      <c r="J369" s="1">
        <v>1005983.0</v>
      </c>
      <c r="K369" s="1">
        <v>1002268.0</v>
      </c>
      <c r="L369" s="1">
        <v>1002268.0</v>
      </c>
      <c r="M369" s="1">
        <v>29.20521235466</v>
      </c>
      <c r="N369" s="1">
        <v>1907.0</v>
      </c>
      <c r="O369" s="5">
        <f t="shared" si="34"/>
        <v>0</v>
      </c>
      <c r="Q369" s="1">
        <v>966123.91887597</v>
      </c>
      <c r="S369" s="1">
        <v>51.8847618103027</v>
      </c>
      <c r="U369" s="1">
        <v>109393.939642333</v>
      </c>
      <c r="V369" s="1">
        <v>6.47672200202941</v>
      </c>
      <c r="X369" s="1">
        <v>949207.905232492</v>
      </c>
      <c r="Y369" s="1">
        <v>16.3980638980865</v>
      </c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D370" s="1" t="s">
        <v>39</v>
      </c>
      <c r="E370" s="1">
        <v>80.0</v>
      </c>
      <c r="F370" s="1">
        <v>30.0</v>
      </c>
      <c r="H370" s="1">
        <v>941513.49635536</v>
      </c>
      <c r="I370" s="1">
        <v>8.41106367111206</v>
      </c>
      <c r="J370" s="1">
        <v>968016.0</v>
      </c>
      <c r="K370" s="1">
        <v>968016.0</v>
      </c>
      <c r="L370" s="1">
        <v>968016.0</v>
      </c>
      <c r="M370" s="1">
        <v>11.0617394447326</v>
      </c>
      <c r="N370" s="1">
        <v>267.0</v>
      </c>
      <c r="O370" s="5">
        <f t="shared" si="34"/>
        <v>0</v>
      </c>
      <c r="Q370" s="1">
        <v>941607.439124621</v>
      </c>
      <c r="S370" s="1">
        <v>26.111521244049</v>
      </c>
      <c r="U370" s="1">
        <v>109319.90979244</v>
      </c>
      <c r="V370" s="1">
        <v>5.44214940071106</v>
      </c>
      <c r="X370" s="1">
        <v>938956.027081635</v>
      </c>
      <c r="Y370" s="1">
        <v>18.4962201118469</v>
      </c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D371" s="1" t="s">
        <v>40</v>
      </c>
      <c r="E371" s="1">
        <v>80.0</v>
      </c>
      <c r="F371" s="1">
        <v>30.0</v>
      </c>
      <c r="H371" s="1">
        <v>1015337.96662377</v>
      </c>
      <c r="I371" s="1">
        <v>8.40612363815307</v>
      </c>
      <c r="J371" s="1">
        <v>1062518.0</v>
      </c>
      <c r="K371" s="1">
        <v>1039150.99999999</v>
      </c>
      <c r="L371" s="1">
        <v>1039150.99999999</v>
      </c>
      <c r="M371" s="1">
        <v>15.6227407455444</v>
      </c>
      <c r="N371" s="1">
        <v>673.0</v>
      </c>
      <c r="O371" s="5">
        <f t="shared" si="34"/>
        <v>0</v>
      </c>
      <c r="Q371" s="1">
        <v>1015712.88418268</v>
      </c>
      <c r="S371" s="1">
        <v>39.6118187904357</v>
      </c>
      <c r="U371" s="1">
        <v>112701.005775474</v>
      </c>
      <c r="V371" s="1">
        <v>5.99406695365905</v>
      </c>
      <c r="X371" s="1">
        <v>991153.34429323</v>
      </c>
      <c r="Y371" s="1">
        <v>25.4096925258636</v>
      </c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D372" s="1" t="s">
        <v>41</v>
      </c>
      <c r="E372" s="1">
        <v>80.0</v>
      </c>
      <c r="F372" s="1">
        <v>30.0</v>
      </c>
      <c r="H372" s="1">
        <v>1021141.45854464</v>
      </c>
      <c r="I372" s="1">
        <v>8.42044639587402</v>
      </c>
      <c r="J372" s="1">
        <v>1052237.0</v>
      </c>
      <c r="K372" s="1">
        <v>1046022.99999999</v>
      </c>
      <c r="L372" s="1">
        <v>1046022.99999999</v>
      </c>
      <c r="M372" s="1">
        <v>12.1103122234344</v>
      </c>
      <c r="N372" s="1">
        <v>347.0</v>
      </c>
      <c r="O372" s="5">
        <f t="shared" si="34"/>
        <v>0</v>
      </c>
      <c r="Q372" s="1">
        <v>1021518.74762136</v>
      </c>
      <c r="S372" s="1">
        <v>45.1859557628631</v>
      </c>
      <c r="U372" s="1">
        <v>109656.831133462</v>
      </c>
      <c r="V372" s="1">
        <v>5.52748107910156</v>
      </c>
      <c r="X372" s="1">
        <v>997402.129362348</v>
      </c>
      <c r="Y372" s="1">
        <v>13.262897491455</v>
      </c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D373" s="1" t="s">
        <v>42</v>
      </c>
      <c r="E373" s="1">
        <v>80.0</v>
      </c>
      <c r="F373" s="1">
        <v>30.0</v>
      </c>
      <c r="H373" s="1">
        <v>961805.298777233</v>
      </c>
      <c r="I373" s="1">
        <v>8.39123463630676</v>
      </c>
      <c r="J373" s="1">
        <v>990008.0</v>
      </c>
      <c r="K373" s="1">
        <v>982159.0</v>
      </c>
      <c r="L373" s="1">
        <v>982159.0</v>
      </c>
      <c r="M373" s="1">
        <v>14.4334020614624</v>
      </c>
      <c r="N373" s="1">
        <v>547.0</v>
      </c>
      <c r="O373" s="5">
        <f t="shared" si="34"/>
        <v>0</v>
      </c>
      <c r="Q373" s="1">
        <v>962138.599894924</v>
      </c>
      <c r="S373" s="1">
        <v>55.139018535614</v>
      </c>
      <c r="U373" s="1">
        <v>110144.257579811</v>
      </c>
      <c r="V373" s="1">
        <v>5.85875153541564</v>
      </c>
      <c r="X373" s="1">
        <v>938762.702900094</v>
      </c>
      <c r="Y373" s="1">
        <v>18.7356059551239</v>
      </c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D374" s="1" t="s">
        <v>43</v>
      </c>
      <c r="E374" s="1">
        <v>80.0</v>
      </c>
      <c r="F374" s="1">
        <v>30.0</v>
      </c>
      <c r="H374" s="1">
        <v>1039235.18201866</v>
      </c>
      <c r="I374" s="1">
        <v>8.38765740394592</v>
      </c>
      <c r="J374" s="1">
        <v>1061843.0</v>
      </c>
      <c r="K374" s="1">
        <v>1061843.0</v>
      </c>
      <c r="L374" s="1">
        <v>1061843.0</v>
      </c>
      <c r="M374" s="1">
        <v>10.9141974449157</v>
      </c>
      <c r="N374" s="1">
        <v>259.0</v>
      </c>
      <c r="O374" s="5">
        <f t="shared" si="34"/>
        <v>0</v>
      </c>
      <c r="Q374" s="1">
        <v>1039755.68875539</v>
      </c>
      <c r="S374" s="1">
        <v>110.046534538269</v>
      </c>
      <c r="U374" s="1">
        <v>111718.142905203</v>
      </c>
      <c r="V374" s="1">
        <v>5.63435983657836</v>
      </c>
      <c r="X374" s="1">
        <v>1026651.62248097</v>
      </c>
      <c r="Y374" s="1">
        <v>17.9087932109832</v>
      </c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D375" s="1" t="s">
        <v>44</v>
      </c>
      <c r="E375" s="1">
        <v>80.0</v>
      </c>
      <c r="F375" s="1">
        <v>30.0</v>
      </c>
      <c r="H375" s="1">
        <v>971362.9846642</v>
      </c>
      <c r="I375" s="1">
        <v>8.38978028297424</v>
      </c>
      <c r="J375" s="1">
        <v>998932.0</v>
      </c>
      <c r="K375" s="1">
        <v>998932.0</v>
      </c>
      <c r="L375" s="1">
        <v>998932.0</v>
      </c>
      <c r="M375" s="1">
        <v>14.7223422527313</v>
      </c>
      <c r="N375" s="1">
        <v>609.0</v>
      </c>
      <c r="O375" s="5">
        <f t="shared" si="34"/>
        <v>0</v>
      </c>
      <c r="Q375" s="1">
        <v>971783.333989791</v>
      </c>
      <c r="S375" s="1">
        <v>67.9553432464599</v>
      </c>
      <c r="U375" s="1">
        <v>111688.974575643</v>
      </c>
      <c r="V375" s="1">
        <v>6.31724452972412</v>
      </c>
      <c r="X375" s="1">
        <v>953036.481390662</v>
      </c>
      <c r="Y375" s="1">
        <v>12.1837656497955</v>
      </c>
      <c r="Z375" s="1"/>
      <c r="AA375" s="1"/>
      <c r="AB375" s="1"/>
      <c r="AC375" s="1"/>
      <c r="AD375" s="1"/>
      <c r="AE375" s="1"/>
      <c r="AF375" s="1"/>
      <c r="AG375" s="1"/>
      <c r="AH375" s="1"/>
    </row>
    <row r="376" ht="16.5" customHeight="1">
      <c r="D376" s="1" t="s">
        <v>45</v>
      </c>
      <c r="E376" s="1">
        <v>80.0</v>
      </c>
      <c r="F376" s="1">
        <v>30.0</v>
      </c>
      <c r="H376" s="1">
        <v>1004442.69937059</v>
      </c>
      <c r="I376" s="1">
        <v>8.36673927307128</v>
      </c>
      <c r="J376" s="1">
        <v>1026103.99999999</v>
      </c>
      <c r="K376" s="1">
        <v>1026103.99999999</v>
      </c>
      <c r="L376" s="1">
        <v>1026103.99999999</v>
      </c>
      <c r="M376" s="1">
        <v>10.0653479099273</v>
      </c>
      <c r="N376" s="1">
        <v>171.0</v>
      </c>
      <c r="O376" s="5">
        <f t="shared" si="34"/>
        <v>0</v>
      </c>
      <c r="Q376" s="1">
        <v>1004801.60165479</v>
      </c>
      <c r="S376" s="1">
        <v>70.155982017517</v>
      </c>
      <c r="U376" s="1">
        <v>113811.005030334</v>
      </c>
      <c r="V376" s="1">
        <v>5.76878428459167</v>
      </c>
      <c r="X376" s="1">
        <v>989009.951937694</v>
      </c>
      <c r="Y376" s="1">
        <v>12.5678977966308</v>
      </c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D377" s="1"/>
      <c r="E377" s="6">
        <f t="shared" ref="E377:F377" si="35">AVERAGE(E347:E376)</f>
        <v>80</v>
      </c>
      <c r="F377" s="6">
        <f t="shared" si="35"/>
        <v>30</v>
      </c>
      <c r="H377" s="6">
        <f t="shared" ref="H377:O377" si="36">AVERAGE(H347:H376)</f>
        <v>1002032.096</v>
      </c>
      <c r="I377" s="6">
        <f t="shared" si="36"/>
        <v>8.417147795</v>
      </c>
      <c r="J377" s="6">
        <f t="shared" si="36"/>
        <v>1048045.333</v>
      </c>
      <c r="K377" s="6">
        <f t="shared" si="36"/>
        <v>1033821.033</v>
      </c>
      <c r="L377" s="6">
        <f t="shared" si="36"/>
        <v>1033821.033</v>
      </c>
      <c r="M377" s="6">
        <f t="shared" si="36"/>
        <v>17.86440438</v>
      </c>
      <c r="N377" s="6">
        <f t="shared" si="36"/>
        <v>866.2</v>
      </c>
      <c r="O377" s="6">
        <f t="shared" si="36"/>
        <v>0</v>
      </c>
      <c r="Q377" s="6">
        <f>AVERAGE(Q347:Q376)</f>
        <v>1002379.791</v>
      </c>
      <c r="S377" s="6">
        <f>AVERAGE(S347:S376)</f>
        <v>62.63191899</v>
      </c>
    </row>
    <row r="378">
      <c r="D378" s="1" t="s">
        <v>16</v>
      </c>
      <c r="E378" s="1">
        <v>90.0</v>
      </c>
      <c r="F378" s="1">
        <v>15.0</v>
      </c>
      <c r="H378" s="1">
        <v>227437.661359985</v>
      </c>
      <c r="I378" s="1">
        <v>9.29806756973266</v>
      </c>
      <c r="J378" s="1">
        <v>358354.0</v>
      </c>
      <c r="K378" s="1">
        <v>297846.0</v>
      </c>
      <c r="L378" s="1">
        <v>297090.51936921</v>
      </c>
      <c r="M378" s="1">
        <v>3600.0315709114</v>
      </c>
      <c r="N378" s="1">
        <v>150071.0</v>
      </c>
      <c r="O378" s="5">
        <f t="shared" ref="O378:O407" si="37">100*(K378-L378)/K378</f>
        <v>0.2536480701</v>
      </c>
      <c r="Q378" s="1">
        <v>227604.984582161</v>
      </c>
      <c r="S378" s="1">
        <v>66.0397942066192</v>
      </c>
      <c r="U378" s="1">
        <v>89501.9588611117</v>
      </c>
      <c r="V378" s="1">
        <v>8.52163314819336</v>
      </c>
      <c r="X378" s="1">
        <v>223904.327290072</v>
      </c>
      <c r="Y378" s="1">
        <v>12.5448653697967</v>
      </c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D379" s="1" t="s">
        <v>17</v>
      </c>
      <c r="E379" s="1">
        <v>90.0</v>
      </c>
      <c r="F379" s="1">
        <v>15.0</v>
      </c>
      <c r="H379" s="1">
        <v>232728.708396138</v>
      </c>
      <c r="I379" s="1">
        <v>9.28937745094299</v>
      </c>
      <c r="J379" s="1">
        <v>387499.0</v>
      </c>
      <c r="K379" s="1">
        <v>326827.999999999</v>
      </c>
      <c r="L379" s="1">
        <v>319324.790759463</v>
      </c>
      <c r="M379" s="1">
        <v>3600.01036596298</v>
      </c>
      <c r="N379" s="1">
        <v>135173.0</v>
      </c>
      <c r="O379" s="5">
        <f t="shared" si="37"/>
        <v>2.29576696</v>
      </c>
      <c r="Q379" s="1">
        <v>232896.354737587</v>
      </c>
      <c r="S379" s="1">
        <v>64.932979106903</v>
      </c>
      <c r="U379" s="1">
        <v>91128.9893325515</v>
      </c>
      <c r="V379" s="1">
        <v>7.76419234275817</v>
      </c>
      <c r="X379" s="1">
        <v>231456.0006034</v>
      </c>
      <c r="Y379" s="1">
        <v>22.1674144268035</v>
      </c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D380" s="1" t="s">
        <v>18</v>
      </c>
      <c r="E380" s="1">
        <v>90.0</v>
      </c>
      <c r="F380" s="1">
        <v>15.0</v>
      </c>
      <c r="H380" s="1">
        <v>225606.974419268</v>
      </c>
      <c r="I380" s="1">
        <v>9.28990221023559</v>
      </c>
      <c r="J380" s="1">
        <v>328022.999999999</v>
      </c>
      <c r="K380" s="1">
        <v>290915.0</v>
      </c>
      <c r="L380" s="1">
        <v>290915.0</v>
      </c>
      <c r="M380" s="1">
        <v>2084.71783494949</v>
      </c>
      <c r="N380" s="1">
        <v>97637.0</v>
      </c>
      <c r="O380" s="5">
        <f t="shared" si="37"/>
        <v>0</v>
      </c>
      <c r="Q380" s="1">
        <v>225791.112739628</v>
      </c>
      <c r="S380" s="1">
        <v>50.7457537651062</v>
      </c>
      <c r="U380" s="1">
        <v>89406.0025599326</v>
      </c>
      <c r="V380" s="1">
        <v>8.24826169013977</v>
      </c>
      <c r="X380" s="1">
        <v>222064.942109514</v>
      </c>
      <c r="Y380" s="1">
        <v>12.0087614059448</v>
      </c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D381" s="1" t="s">
        <v>19</v>
      </c>
      <c r="E381" s="1">
        <v>90.0</v>
      </c>
      <c r="F381" s="1">
        <v>15.0</v>
      </c>
      <c r="H381" s="1">
        <v>236652.410707892</v>
      </c>
      <c r="I381" s="1">
        <v>9.28738975524902</v>
      </c>
      <c r="J381" s="1">
        <v>375546.0</v>
      </c>
      <c r="K381" s="1">
        <v>318318.0</v>
      </c>
      <c r="L381" s="1">
        <v>317341.694577183</v>
      </c>
      <c r="M381" s="1">
        <v>3600.01125383377</v>
      </c>
      <c r="N381" s="1">
        <v>147957.0</v>
      </c>
      <c r="O381" s="5">
        <f t="shared" si="37"/>
        <v>0.3067075763</v>
      </c>
      <c r="Q381" s="1">
        <v>236840.174261643</v>
      </c>
      <c r="S381" s="1">
        <v>78.7145142555236</v>
      </c>
      <c r="U381" s="1">
        <v>91498.9009616594</v>
      </c>
      <c r="V381" s="1">
        <v>7.78336811065673</v>
      </c>
      <c r="X381" s="1">
        <v>233726.332252664</v>
      </c>
      <c r="Y381" s="1">
        <v>15.7993578910827</v>
      </c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D382" s="1" t="s">
        <v>20</v>
      </c>
      <c r="E382" s="1">
        <v>90.0</v>
      </c>
      <c r="F382" s="1">
        <v>15.0</v>
      </c>
      <c r="H382" s="1">
        <v>238802.655905038</v>
      </c>
      <c r="I382" s="1">
        <v>9.29162573814392</v>
      </c>
      <c r="J382" s="1">
        <v>346608.0</v>
      </c>
      <c r="K382" s="1">
        <v>304097.999999999</v>
      </c>
      <c r="L382" s="1">
        <v>303280.369425218</v>
      </c>
      <c r="M382" s="1">
        <v>3600.02368640899</v>
      </c>
      <c r="N382" s="1">
        <v>147675.0</v>
      </c>
      <c r="O382" s="5">
        <f t="shared" si="37"/>
        <v>0.2688707505</v>
      </c>
      <c r="Q382" s="1">
        <v>239006.476152317</v>
      </c>
      <c r="S382" s="1">
        <v>97.5516674518585</v>
      </c>
      <c r="U382" s="1">
        <v>94407.0039214347</v>
      </c>
      <c r="V382" s="1">
        <v>8.40419244766235</v>
      </c>
      <c r="X382" s="1">
        <v>237005.911096969</v>
      </c>
      <c r="Y382" s="1">
        <v>24.1872153282165</v>
      </c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D383" s="1" t="s">
        <v>21</v>
      </c>
      <c r="E383" s="1">
        <v>90.0</v>
      </c>
      <c r="F383" s="1">
        <v>15.0</v>
      </c>
      <c r="H383" s="1">
        <v>231983.038304031</v>
      </c>
      <c r="I383" s="1">
        <v>9.32069945335388</v>
      </c>
      <c r="J383" s="1">
        <v>353151.0</v>
      </c>
      <c r="K383" s="1">
        <v>316704.0</v>
      </c>
      <c r="L383" s="1">
        <v>301989.201479695</v>
      </c>
      <c r="M383" s="1">
        <v>3600.06065273284</v>
      </c>
      <c r="N383" s="1">
        <v>133367.0</v>
      </c>
      <c r="O383" s="5">
        <f t="shared" si="37"/>
        <v>4.646230714</v>
      </c>
      <c r="Q383" s="1">
        <v>232165.218393697</v>
      </c>
      <c r="S383" s="1">
        <v>56.8458986282348</v>
      </c>
      <c r="U383" s="1">
        <v>92782.9133410435</v>
      </c>
      <c r="V383" s="1">
        <v>7.65875720977783</v>
      </c>
      <c r="X383" s="1">
        <v>228043.846937749</v>
      </c>
      <c r="Y383" s="1">
        <v>13.3936693668365</v>
      </c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D384" s="1" t="s">
        <v>22</v>
      </c>
      <c r="E384" s="1">
        <v>90.0</v>
      </c>
      <c r="F384" s="1">
        <v>15.0</v>
      </c>
      <c r="H384" s="1">
        <v>240449.76754132</v>
      </c>
      <c r="I384" s="1">
        <v>9.31643319129943</v>
      </c>
      <c r="J384" s="1">
        <v>383036.0</v>
      </c>
      <c r="K384" s="1">
        <v>329758.0</v>
      </c>
      <c r="L384" s="1">
        <v>319923.04905969</v>
      </c>
      <c r="M384" s="1">
        <v>3600.00074195861</v>
      </c>
      <c r="N384" s="1">
        <v>133065.0</v>
      </c>
      <c r="O384" s="5">
        <f t="shared" si="37"/>
        <v>2.982475312</v>
      </c>
      <c r="Q384" s="1">
        <v>240651.262524009</v>
      </c>
      <c r="S384" s="1">
        <v>107.722659349441</v>
      </c>
      <c r="U384" s="1">
        <v>93125.0441308121</v>
      </c>
      <c r="V384" s="1">
        <v>9.04148888587951</v>
      </c>
      <c r="X384" s="1">
        <v>237800.714473492</v>
      </c>
      <c r="Y384" s="1">
        <v>32.0111100673675</v>
      </c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D385" s="1" t="s">
        <v>23</v>
      </c>
      <c r="E385" s="1">
        <v>90.0</v>
      </c>
      <c r="F385" s="1">
        <v>15.0</v>
      </c>
      <c r="H385" s="1">
        <v>240741.103665341</v>
      </c>
      <c r="I385" s="1">
        <v>9.28213334083557</v>
      </c>
      <c r="J385" s="1">
        <v>381482.0</v>
      </c>
      <c r="K385" s="1">
        <v>327914.0</v>
      </c>
      <c r="L385" s="1">
        <v>317743.317931778</v>
      </c>
      <c r="M385" s="1">
        <v>3600.04675555229</v>
      </c>
      <c r="N385" s="1">
        <v>132641.0</v>
      </c>
      <c r="O385" s="5">
        <f t="shared" si="37"/>
        <v>3.101630936</v>
      </c>
      <c r="Q385" s="1">
        <v>240939.552913769</v>
      </c>
      <c r="S385" s="1">
        <v>102.451207160949</v>
      </c>
      <c r="U385" s="1">
        <v>93289.009207842</v>
      </c>
      <c r="V385" s="1">
        <v>7.96616530418396</v>
      </c>
      <c r="X385" s="1">
        <v>238601.463350621</v>
      </c>
      <c r="Y385" s="1">
        <v>15.3054931163787</v>
      </c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D386" s="1" t="s">
        <v>24</v>
      </c>
      <c r="E386" s="1">
        <v>90.0</v>
      </c>
      <c r="F386" s="1">
        <v>15.0</v>
      </c>
      <c r="H386" s="1">
        <v>245587.434134163</v>
      </c>
      <c r="I386" s="1">
        <v>9.25145888328552</v>
      </c>
      <c r="J386" s="1">
        <v>362145.0</v>
      </c>
      <c r="K386" s="1">
        <v>315369.999999999</v>
      </c>
      <c r="L386" s="1">
        <v>315369.999999999</v>
      </c>
      <c r="M386" s="1">
        <v>2986.02338933944</v>
      </c>
      <c r="N386" s="1">
        <v>121247.0</v>
      </c>
      <c r="O386" s="5">
        <f t="shared" si="37"/>
        <v>0</v>
      </c>
      <c r="Q386" s="1">
        <v>245823.532788235</v>
      </c>
      <c r="S386" s="1">
        <v>104.13035750389</v>
      </c>
      <c r="U386" s="1">
        <v>91967.687177214</v>
      </c>
      <c r="V386" s="1">
        <v>14.9818513393402</v>
      </c>
      <c r="X386" s="1">
        <v>243079.802347923</v>
      </c>
      <c r="Y386" s="1">
        <v>40.487110376358</v>
      </c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D387" s="1" t="s">
        <v>25</v>
      </c>
      <c r="E387" s="1">
        <v>90.0</v>
      </c>
      <c r="F387" s="1">
        <v>15.0</v>
      </c>
      <c r="H387" s="1">
        <v>237995.194082271</v>
      </c>
      <c r="I387" s="1">
        <v>9.31233978271484</v>
      </c>
      <c r="J387" s="1">
        <v>371356.0</v>
      </c>
      <c r="K387" s="1">
        <v>320342.0</v>
      </c>
      <c r="L387" s="1">
        <v>314720.663037356</v>
      </c>
      <c r="M387" s="1">
        <v>3600.06234407424</v>
      </c>
      <c r="N387" s="1">
        <v>135309.0</v>
      </c>
      <c r="O387" s="5">
        <f t="shared" si="37"/>
        <v>1.754792366</v>
      </c>
      <c r="Q387" s="1">
        <v>238199.524437062</v>
      </c>
      <c r="S387" s="1">
        <v>58.1371867656707</v>
      </c>
      <c r="U387" s="1">
        <v>92842.7662278061</v>
      </c>
      <c r="V387" s="1">
        <v>7.44073772430419</v>
      </c>
      <c r="X387" s="1">
        <v>235119.4801652</v>
      </c>
      <c r="Y387" s="1">
        <v>27.7061908245086</v>
      </c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D388" s="1" t="s">
        <v>26</v>
      </c>
      <c r="E388" s="1">
        <v>90.0</v>
      </c>
      <c r="F388" s="1">
        <v>15.0</v>
      </c>
      <c r="H388" s="1">
        <v>244339.454680494</v>
      </c>
      <c r="I388" s="1">
        <v>9.31385421752929</v>
      </c>
      <c r="J388" s="1">
        <v>375905.0</v>
      </c>
      <c r="K388" s="1">
        <v>320489.0</v>
      </c>
      <c r="L388" s="1">
        <v>313455.616087045</v>
      </c>
      <c r="M388" s="1">
        <v>3600.06132817268</v>
      </c>
      <c r="N388" s="1">
        <v>133719.0</v>
      </c>
      <c r="O388" s="5">
        <f t="shared" si="37"/>
        <v>2.194578882</v>
      </c>
      <c r="Q388" s="1">
        <v>244543.031986588</v>
      </c>
      <c r="S388" s="1">
        <v>92.8022179603576</v>
      </c>
      <c r="U388" s="1">
        <v>93916.0344165833</v>
      </c>
      <c r="V388" s="1">
        <v>8.29677987098693</v>
      </c>
      <c r="X388" s="1">
        <v>242039.701677375</v>
      </c>
      <c r="Y388" s="1">
        <v>23.9969499111175</v>
      </c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D389" s="1" t="s">
        <v>27</v>
      </c>
      <c r="E389" s="1">
        <v>90.0</v>
      </c>
      <c r="F389" s="1">
        <v>15.0</v>
      </c>
      <c r="H389" s="1">
        <v>241189.18916626</v>
      </c>
      <c r="I389" s="1">
        <v>9.30286192893982</v>
      </c>
      <c r="J389" s="1">
        <v>389469.0</v>
      </c>
      <c r="K389" s="1">
        <v>323774.0</v>
      </c>
      <c r="L389" s="1">
        <v>315855.758899715</v>
      </c>
      <c r="M389" s="1">
        <v>3600.05191326141</v>
      </c>
      <c r="N389" s="1">
        <v>133469.0</v>
      </c>
      <c r="O389" s="5">
        <f t="shared" si="37"/>
        <v>2.445607461</v>
      </c>
      <c r="Q389" s="1">
        <v>241397.751861379</v>
      </c>
      <c r="S389" s="1">
        <v>112.696726560592</v>
      </c>
      <c r="U389" s="1">
        <v>91335.9604665804</v>
      </c>
      <c r="V389" s="1">
        <v>10.0598444938659</v>
      </c>
      <c r="X389" s="1">
        <v>238421.070473616</v>
      </c>
      <c r="Y389" s="1">
        <v>20.7754273414611</v>
      </c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D390" s="1" t="s">
        <v>28</v>
      </c>
      <c r="E390" s="1">
        <v>90.0</v>
      </c>
      <c r="F390" s="1">
        <v>15.0</v>
      </c>
      <c r="H390" s="1">
        <v>229368.849847064</v>
      </c>
      <c r="I390" s="1">
        <v>9.27930378913879</v>
      </c>
      <c r="J390" s="1">
        <v>358295.0</v>
      </c>
      <c r="K390" s="1">
        <v>305391.0</v>
      </c>
      <c r="L390" s="1">
        <v>297540.046106376</v>
      </c>
      <c r="M390" s="1">
        <v>3600.04195570945</v>
      </c>
      <c r="N390" s="1">
        <v>133331.0</v>
      </c>
      <c r="O390" s="5">
        <f t="shared" si="37"/>
        <v>2.570787578</v>
      </c>
      <c r="Q390" s="1">
        <v>229561.141953502</v>
      </c>
      <c r="S390" s="1">
        <v>86.9328000545501</v>
      </c>
      <c r="U390" s="1">
        <v>90476.6923372116</v>
      </c>
      <c r="V390" s="1">
        <v>7.53106784820556</v>
      </c>
      <c r="X390" s="1">
        <v>227419.803267118</v>
      </c>
      <c r="Y390" s="1">
        <v>14.1247460842132</v>
      </c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D391" s="1" t="s">
        <v>29</v>
      </c>
      <c r="E391" s="1">
        <v>90.0</v>
      </c>
      <c r="F391" s="1">
        <v>15.0</v>
      </c>
      <c r="H391" s="1">
        <v>232733.342582793</v>
      </c>
      <c r="I391" s="1">
        <v>9.433189868927</v>
      </c>
      <c r="J391" s="1">
        <v>371336.0</v>
      </c>
      <c r="K391" s="1">
        <v>322786.999999999</v>
      </c>
      <c r="L391" s="1">
        <v>311869.832708201</v>
      </c>
      <c r="M391" s="1">
        <v>3600.00751519203</v>
      </c>
      <c r="N391" s="1">
        <v>132637.0</v>
      </c>
      <c r="O391" s="5">
        <f t="shared" si="37"/>
        <v>3.382158294</v>
      </c>
      <c r="Q391" s="1">
        <v>232945.896232632</v>
      </c>
      <c r="S391" s="1">
        <v>105.351706027984</v>
      </c>
      <c r="U391" s="1">
        <v>92385.1189089678</v>
      </c>
      <c r="V391" s="1">
        <v>8.55571007728576</v>
      </c>
      <c r="X391" s="1">
        <v>230382.753451056</v>
      </c>
      <c r="Y391" s="1">
        <v>26.8783128261566</v>
      </c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D392" s="1" t="s">
        <v>30</v>
      </c>
      <c r="E392" s="1">
        <v>90.0</v>
      </c>
      <c r="F392" s="1">
        <v>15.0</v>
      </c>
      <c r="H392" s="1">
        <v>244493.669032395</v>
      </c>
      <c r="I392" s="1">
        <v>9.46861958503723</v>
      </c>
      <c r="J392" s="1">
        <v>392757.0</v>
      </c>
      <c r="K392" s="1">
        <v>329465.0</v>
      </c>
      <c r="L392" s="1">
        <v>324547.689319642</v>
      </c>
      <c r="M392" s="1">
        <v>3600.03940892219</v>
      </c>
      <c r="N392" s="1">
        <v>135687.0</v>
      </c>
      <c r="O392" s="5">
        <f t="shared" si="37"/>
        <v>1.492513827</v>
      </c>
      <c r="Q392" s="1">
        <v>244695.885004752</v>
      </c>
      <c r="S392" s="1">
        <v>118.195527076721</v>
      </c>
      <c r="U392" s="1">
        <v>92038.0125706486</v>
      </c>
      <c r="V392" s="1">
        <v>7.70469713211059</v>
      </c>
      <c r="X392" s="1">
        <v>242141.923410013</v>
      </c>
      <c r="Y392" s="1">
        <v>58.0029289722442</v>
      </c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D393" s="1" t="s">
        <v>31</v>
      </c>
      <c r="E393" s="1">
        <v>90.0</v>
      </c>
      <c r="F393" s="1">
        <v>15.0</v>
      </c>
      <c r="H393" s="1">
        <v>233592.475754457</v>
      </c>
      <c r="I393" s="1">
        <v>9.48164129257202</v>
      </c>
      <c r="J393" s="1">
        <v>352124.0</v>
      </c>
      <c r="K393" s="1">
        <v>316330.0</v>
      </c>
      <c r="L393" s="1">
        <v>316330.0</v>
      </c>
      <c r="M393" s="1">
        <v>3328.5476090908</v>
      </c>
      <c r="N393" s="1">
        <v>130753.0</v>
      </c>
      <c r="O393" s="5">
        <f t="shared" si="37"/>
        <v>0</v>
      </c>
      <c r="Q393" s="1">
        <v>233757.842642512</v>
      </c>
      <c r="S393" s="1">
        <v>92.2656064033508</v>
      </c>
      <c r="U393" s="1">
        <v>90990.2085344415</v>
      </c>
      <c r="V393" s="1">
        <v>8.59140276908874</v>
      </c>
      <c r="X393" s="1">
        <v>230075.008143838</v>
      </c>
      <c r="Y393" s="1">
        <v>22.5253200531005</v>
      </c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D394" s="1" t="s">
        <v>32</v>
      </c>
      <c r="E394" s="1">
        <v>90.0</v>
      </c>
      <c r="F394" s="1">
        <v>15.0</v>
      </c>
      <c r="H394" s="1">
        <v>244031.982191593</v>
      </c>
      <c r="I394" s="1">
        <v>9.47156047821045</v>
      </c>
      <c r="J394" s="1">
        <v>372837.0</v>
      </c>
      <c r="K394" s="1">
        <v>327624.0</v>
      </c>
      <c r="L394" s="1">
        <v>318813.390814719</v>
      </c>
      <c r="M394" s="1">
        <v>3600.03495597839</v>
      </c>
      <c r="N394" s="1">
        <v>132733.0</v>
      </c>
      <c r="O394" s="5">
        <f t="shared" si="37"/>
        <v>2.689244129</v>
      </c>
      <c r="Q394" s="1">
        <v>244230.959572797</v>
      </c>
      <c r="S394" s="1">
        <v>99.2247233390808</v>
      </c>
      <c r="U394" s="1">
        <v>91689.001635462</v>
      </c>
      <c r="V394" s="1">
        <v>7.75604486465454</v>
      </c>
      <c r="X394" s="1">
        <v>241168.696521424</v>
      </c>
      <c r="Y394" s="1">
        <v>29.7844085693359</v>
      </c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D395" s="1" t="s">
        <v>33</v>
      </c>
      <c r="E395" s="1">
        <v>90.0</v>
      </c>
      <c r="F395" s="1">
        <v>15.0</v>
      </c>
      <c r="H395" s="1">
        <v>245075.149443643</v>
      </c>
      <c r="I395" s="1">
        <v>9.54619121551513</v>
      </c>
      <c r="J395" s="1">
        <v>399128.0</v>
      </c>
      <c r="K395" s="1">
        <v>337230.0</v>
      </c>
      <c r="L395" s="1">
        <v>327420.77189967</v>
      </c>
      <c r="M395" s="1">
        <v>3600.01101899147</v>
      </c>
      <c r="N395" s="1">
        <v>132767.0</v>
      </c>
      <c r="O395" s="5">
        <f t="shared" si="37"/>
        <v>2.908764968</v>
      </c>
      <c r="Q395" s="1">
        <v>245287.64035186</v>
      </c>
      <c r="S395" s="1">
        <v>89.266669511795</v>
      </c>
      <c r="U395" s="1">
        <v>92358.6410861344</v>
      </c>
      <c r="V395" s="1">
        <v>7.54237580299377</v>
      </c>
      <c r="X395" s="1">
        <v>243026.266973195</v>
      </c>
      <c r="Y395" s="1">
        <v>20.981908082962</v>
      </c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D396" s="1" t="s">
        <v>34</v>
      </c>
      <c r="E396" s="1">
        <v>90.0</v>
      </c>
      <c r="F396" s="1">
        <v>15.0</v>
      </c>
      <c r="H396" s="1">
        <v>232060.344329814</v>
      </c>
      <c r="I396" s="1">
        <v>9.32269954681396</v>
      </c>
      <c r="J396" s="1">
        <v>376962.0</v>
      </c>
      <c r="K396" s="1">
        <v>330205.0</v>
      </c>
      <c r="L396" s="1">
        <v>315191.539533583</v>
      </c>
      <c r="M396" s="1">
        <v>3600.00468516349</v>
      </c>
      <c r="N396" s="1">
        <v>133083.0</v>
      </c>
      <c r="O396" s="5">
        <f t="shared" si="37"/>
        <v>4.546709004</v>
      </c>
      <c r="Q396" s="1">
        <v>232250.078316496</v>
      </c>
      <c r="S396" s="1">
        <v>81.71236038208</v>
      </c>
      <c r="U396" s="1">
        <v>91166.9902171603</v>
      </c>
      <c r="V396" s="1">
        <v>8.12128472328186</v>
      </c>
      <c r="X396" s="1">
        <v>230626.209630232</v>
      </c>
      <c r="Y396" s="1">
        <v>20.3981053829193</v>
      </c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D397" s="1" t="s">
        <v>35</v>
      </c>
      <c r="E397" s="1">
        <v>90.0</v>
      </c>
      <c r="F397" s="1">
        <v>15.0</v>
      </c>
      <c r="H397" s="1">
        <v>227674.626293166</v>
      </c>
      <c r="I397" s="1">
        <v>9.32935237884521</v>
      </c>
      <c r="J397" s="1">
        <v>341813.0</v>
      </c>
      <c r="K397" s="1">
        <v>298770.999999999</v>
      </c>
      <c r="L397" s="1">
        <v>295184.591794344</v>
      </c>
      <c r="M397" s="1">
        <v>3600.04048752784</v>
      </c>
      <c r="N397" s="1">
        <v>137223.0</v>
      </c>
      <c r="O397" s="5">
        <f t="shared" si="37"/>
        <v>1.200386987</v>
      </c>
      <c r="Q397" s="1">
        <v>227852.741574311</v>
      </c>
      <c r="S397" s="1">
        <v>73.2374448776245</v>
      </c>
      <c r="U397" s="1">
        <v>87710.2404466099</v>
      </c>
      <c r="V397" s="1">
        <v>7.26721429824829</v>
      </c>
      <c r="X397" s="1">
        <v>224183.477244322</v>
      </c>
      <c r="Y397" s="1">
        <v>19.0721304416656</v>
      </c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D398" s="1" t="s">
        <v>36</v>
      </c>
      <c r="E398" s="1">
        <v>90.0</v>
      </c>
      <c r="F398" s="1">
        <v>15.0</v>
      </c>
      <c r="H398" s="1">
        <v>243963.461500736</v>
      </c>
      <c r="I398" s="1">
        <v>9.3259847164154</v>
      </c>
      <c r="J398" s="1">
        <v>334899.0</v>
      </c>
      <c r="K398" s="1">
        <v>303433.0</v>
      </c>
      <c r="L398" s="1">
        <v>303433.0</v>
      </c>
      <c r="M398" s="1">
        <v>1188.13386178016</v>
      </c>
      <c r="N398" s="1">
        <v>64025.0</v>
      </c>
      <c r="O398" s="5">
        <f t="shared" si="37"/>
        <v>0</v>
      </c>
      <c r="Q398" s="1">
        <v>244159.102778325</v>
      </c>
      <c r="S398" s="1">
        <v>67.8674364089965</v>
      </c>
      <c r="U398" s="1">
        <v>95675.7315514762</v>
      </c>
      <c r="V398" s="1">
        <v>8.2756495475769</v>
      </c>
      <c r="X398" s="1">
        <v>241756.298299123</v>
      </c>
      <c r="Y398" s="1">
        <v>26.6458797454834</v>
      </c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D399" s="1" t="s">
        <v>37</v>
      </c>
      <c r="E399" s="1">
        <v>90.0</v>
      </c>
      <c r="F399" s="1">
        <v>15.0</v>
      </c>
      <c r="H399" s="1">
        <v>243657.56028111</v>
      </c>
      <c r="I399" s="1">
        <v>9.3697190284729</v>
      </c>
      <c r="J399" s="1">
        <v>321813.0</v>
      </c>
      <c r="K399" s="1">
        <v>301324.0</v>
      </c>
      <c r="L399" s="1">
        <v>301324.0</v>
      </c>
      <c r="M399" s="1">
        <v>806.376526117324</v>
      </c>
      <c r="N399" s="1">
        <v>46385.0</v>
      </c>
      <c r="O399" s="5">
        <f t="shared" si="37"/>
        <v>0</v>
      </c>
      <c r="Q399" s="1">
        <v>243866.883373387</v>
      </c>
      <c r="S399" s="1">
        <v>129.746358633041</v>
      </c>
      <c r="U399" s="1">
        <v>92850.8752299844</v>
      </c>
      <c r="V399" s="1">
        <v>7.38702964782714</v>
      </c>
      <c r="X399" s="1">
        <v>240958.351140928</v>
      </c>
      <c r="Y399" s="1">
        <v>52.0616488456726</v>
      </c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D400" s="1" t="s">
        <v>38</v>
      </c>
      <c r="E400" s="1">
        <v>90.0</v>
      </c>
      <c r="F400" s="1">
        <v>15.0</v>
      </c>
      <c r="H400" s="1">
        <v>224797.335216813</v>
      </c>
      <c r="I400" s="1">
        <v>9.31094622611999</v>
      </c>
      <c r="J400" s="1">
        <v>352816.0</v>
      </c>
      <c r="K400" s="1">
        <v>303886.0</v>
      </c>
      <c r="L400" s="1">
        <v>295654.076300626</v>
      </c>
      <c r="M400" s="1">
        <v>3600.043115139</v>
      </c>
      <c r="N400" s="1">
        <v>133881.0</v>
      </c>
      <c r="O400" s="5">
        <f t="shared" si="37"/>
        <v>2.70888547</v>
      </c>
      <c r="Q400" s="1">
        <v>224964.535777262</v>
      </c>
      <c r="S400" s="1">
        <v>73.658483505249</v>
      </c>
      <c r="U400" s="1">
        <v>91339.116924858</v>
      </c>
      <c r="V400" s="1">
        <v>7.9690625667572</v>
      </c>
      <c r="X400" s="1">
        <v>223206.804314615</v>
      </c>
      <c r="Y400" s="1">
        <v>19.1831164360046</v>
      </c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D401" s="1" t="s">
        <v>39</v>
      </c>
      <c r="E401" s="1">
        <v>90.0</v>
      </c>
      <c r="F401" s="1">
        <v>15.0</v>
      </c>
      <c r="H401" s="1">
        <v>233462.090085033</v>
      </c>
      <c r="I401" s="1">
        <v>9.29678988456726</v>
      </c>
      <c r="J401" s="1">
        <v>363981.0</v>
      </c>
      <c r="K401" s="1">
        <v>317388.999999999</v>
      </c>
      <c r="L401" s="1">
        <v>308529.060692231</v>
      </c>
      <c r="M401" s="1">
        <v>3600.00682973861</v>
      </c>
      <c r="N401" s="1">
        <v>133721.0</v>
      </c>
      <c r="O401" s="5">
        <f t="shared" si="37"/>
        <v>2.791507994</v>
      </c>
      <c r="Q401" s="1">
        <v>233656.089253553</v>
      </c>
      <c r="S401" s="1">
        <v>56.9142596721649</v>
      </c>
      <c r="U401" s="1">
        <v>88318.0012991743</v>
      </c>
      <c r="V401" s="1">
        <v>9.11123609542846</v>
      </c>
      <c r="X401" s="1">
        <v>228536.906562351</v>
      </c>
      <c r="Y401" s="1">
        <v>18.8726115226745</v>
      </c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D402" s="1" t="s">
        <v>40</v>
      </c>
      <c r="E402" s="1">
        <v>90.0</v>
      </c>
      <c r="F402" s="1">
        <v>15.0</v>
      </c>
      <c r="H402" s="1">
        <v>244051.968663399</v>
      </c>
      <c r="I402" s="1">
        <v>9.30198812484741</v>
      </c>
      <c r="J402" s="1">
        <v>354220.0</v>
      </c>
      <c r="K402" s="1">
        <v>314843.999999999</v>
      </c>
      <c r="L402" s="1">
        <v>310410.579289231</v>
      </c>
      <c r="M402" s="1">
        <v>3600.02171874046</v>
      </c>
      <c r="N402" s="1">
        <v>136357.0</v>
      </c>
      <c r="O402" s="5">
        <f t="shared" si="37"/>
        <v>1.408132507</v>
      </c>
      <c r="Q402" s="1">
        <v>244253.946103064</v>
      </c>
      <c r="S402" s="1">
        <v>101.806291818618</v>
      </c>
      <c r="U402" s="1">
        <v>94260.7091084368</v>
      </c>
      <c r="V402" s="1">
        <v>8.09313750267028</v>
      </c>
      <c r="X402" s="1">
        <v>242275.306758778</v>
      </c>
      <c r="Y402" s="1">
        <v>26.5328433513641</v>
      </c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D403" s="1" t="s">
        <v>41</v>
      </c>
      <c r="E403" s="1">
        <v>90.0</v>
      </c>
      <c r="F403" s="1">
        <v>15.0</v>
      </c>
      <c r="H403" s="1">
        <v>239404.229005157</v>
      </c>
      <c r="I403" s="1">
        <v>9.32702088356018</v>
      </c>
      <c r="J403" s="1">
        <v>364050.0</v>
      </c>
      <c r="K403" s="1">
        <v>304842.0</v>
      </c>
      <c r="L403" s="1">
        <v>304842.0</v>
      </c>
      <c r="M403" s="1">
        <v>1314.93056988716</v>
      </c>
      <c r="N403" s="1">
        <v>69757.0</v>
      </c>
      <c r="O403" s="5">
        <f t="shared" si="37"/>
        <v>0</v>
      </c>
      <c r="Q403" s="1">
        <v>239602.872618102</v>
      </c>
      <c r="S403" s="1">
        <v>58.5869007110595</v>
      </c>
      <c r="U403" s="1">
        <v>91811.0675397808</v>
      </c>
      <c r="V403" s="1">
        <v>7.96378421783447</v>
      </c>
      <c r="X403" s="1">
        <v>237635.551916903</v>
      </c>
      <c r="Y403" s="1">
        <v>16.5931735038757</v>
      </c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D404" s="1" t="s">
        <v>42</v>
      </c>
      <c r="E404" s="1">
        <v>90.0</v>
      </c>
      <c r="F404" s="1">
        <v>15.0</v>
      </c>
      <c r="H404" s="1">
        <v>231341.123038417</v>
      </c>
      <c r="I404" s="1">
        <v>9.39503955841064</v>
      </c>
      <c r="J404" s="1">
        <v>350119.0</v>
      </c>
      <c r="K404" s="1">
        <v>307349.0</v>
      </c>
      <c r="L404" s="1">
        <v>298868.865553161</v>
      </c>
      <c r="M404" s="1">
        <v>3600.0477604866</v>
      </c>
      <c r="N404" s="1">
        <v>132981.0</v>
      </c>
      <c r="O404" s="5">
        <f t="shared" si="37"/>
        <v>2.759122186</v>
      </c>
      <c r="Q404" s="1">
        <v>231518.333604056</v>
      </c>
      <c r="S404" s="1">
        <v>34.1293973922729</v>
      </c>
      <c r="U404" s="1">
        <v>91291.7960787526</v>
      </c>
      <c r="V404" s="1">
        <v>7.80490851402282</v>
      </c>
      <c r="X404" s="1">
        <v>230135.705819071</v>
      </c>
      <c r="Y404" s="1">
        <v>16.0447316169738</v>
      </c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D405" s="1" t="s">
        <v>43</v>
      </c>
      <c r="E405" s="1">
        <v>90.0</v>
      </c>
      <c r="F405" s="1">
        <v>15.0</v>
      </c>
      <c r="H405" s="1">
        <v>240359.693505761</v>
      </c>
      <c r="I405" s="1">
        <v>9.30440497398376</v>
      </c>
      <c r="J405" s="1">
        <v>371571.0</v>
      </c>
      <c r="K405" s="1">
        <v>336177.0</v>
      </c>
      <c r="L405" s="1">
        <v>320894.044297072</v>
      </c>
      <c r="M405" s="1">
        <v>3600.03240132331</v>
      </c>
      <c r="N405" s="1">
        <v>133487.0</v>
      </c>
      <c r="O405" s="5">
        <f t="shared" si="37"/>
        <v>4.546103899</v>
      </c>
      <c r="Q405" s="1">
        <v>240571.291926878</v>
      </c>
      <c r="S405" s="1">
        <v>137.261081933975</v>
      </c>
      <c r="U405" s="1">
        <v>93258.0103488503</v>
      </c>
      <c r="V405" s="1">
        <v>7.64768195152282</v>
      </c>
      <c r="X405" s="1">
        <v>237365.452429675</v>
      </c>
      <c r="Y405" s="1">
        <v>19.6919720172882</v>
      </c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D406" s="1" t="s">
        <v>44</v>
      </c>
      <c r="E406" s="1">
        <v>90.0</v>
      </c>
      <c r="F406" s="1">
        <v>15.0</v>
      </c>
      <c r="H406" s="1">
        <v>235332.093324387</v>
      </c>
      <c r="I406" s="1">
        <v>9.3241913318634</v>
      </c>
      <c r="J406" s="1">
        <v>346615.999999999</v>
      </c>
      <c r="K406" s="1">
        <v>300076.999999999</v>
      </c>
      <c r="L406" s="1">
        <v>299851.36857267</v>
      </c>
      <c r="M406" s="1">
        <v>3600.02942943573</v>
      </c>
      <c r="N406" s="1">
        <v>153205.0</v>
      </c>
      <c r="O406" s="5">
        <f t="shared" si="37"/>
        <v>0.07519117671</v>
      </c>
      <c r="Q406" s="1">
        <v>235516.382510654</v>
      </c>
      <c r="S406" s="1">
        <v>98.3665497303009</v>
      </c>
      <c r="U406" s="1">
        <v>93129.643874606</v>
      </c>
      <c r="V406" s="1">
        <v>7.47694110870361</v>
      </c>
      <c r="X406" s="1">
        <v>232911.225585994</v>
      </c>
      <c r="Y406" s="1">
        <v>21.2487828731536</v>
      </c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D407" s="1" t="s">
        <v>45</v>
      </c>
      <c r="E407" s="1">
        <v>90.0</v>
      </c>
      <c r="F407" s="1">
        <v>15.0</v>
      </c>
      <c r="H407" s="1">
        <v>235583.917740541</v>
      </c>
      <c r="I407" s="1">
        <v>9.2830901145935</v>
      </c>
      <c r="J407" s="1">
        <v>378571.0</v>
      </c>
      <c r="K407" s="1">
        <v>311107.0</v>
      </c>
      <c r="L407" s="1">
        <v>310107.431038605</v>
      </c>
      <c r="M407" s="1">
        <v>3600.00332641601</v>
      </c>
      <c r="N407" s="1">
        <v>148967.0</v>
      </c>
      <c r="O407" s="5">
        <f t="shared" si="37"/>
        <v>0.321294269</v>
      </c>
      <c r="Q407" s="1">
        <v>235765.686758274</v>
      </c>
      <c r="S407" s="1">
        <v>78.065648317337</v>
      </c>
      <c r="U407" s="1">
        <v>92947.7994441061</v>
      </c>
      <c r="V407" s="1">
        <v>7.91125965118408</v>
      </c>
      <c r="X407" s="1">
        <v>231307.993121249</v>
      </c>
      <c r="Y407" s="1">
        <v>17.3888854980468</v>
      </c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D408" s="1"/>
      <c r="E408" s="6">
        <f t="shared" ref="E408:F408" si="38">AVERAGE(E378:E407)</f>
        <v>90</v>
      </c>
      <c r="F408" s="6">
        <f t="shared" si="38"/>
        <v>15</v>
      </c>
      <c r="H408" s="6">
        <f t="shared" ref="H408:O408" si="39">AVERAGE(H378:H407)</f>
        <v>236816.5835</v>
      </c>
      <c r="I408" s="6">
        <f t="shared" si="39"/>
        <v>9.337595884</v>
      </c>
      <c r="J408" s="6">
        <f t="shared" si="39"/>
        <v>363882.7333</v>
      </c>
      <c r="K408" s="6">
        <f t="shared" si="39"/>
        <v>315352.9</v>
      </c>
      <c r="L408" s="6">
        <f t="shared" si="39"/>
        <v>309594.0756</v>
      </c>
      <c r="M408" s="6">
        <f t="shared" si="39"/>
        <v>3270.315167</v>
      </c>
      <c r="N408" s="6">
        <f t="shared" si="39"/>
        <v>127410.3333</v>
      </c>
      <c r="O408" s="6">
        <f t="shared" si="39"/>
        <v>1.788370377</v>
      </c>
      <c r="Q408" s="6">
        <f>AVERAGE(Q378:Q407)</f>
        <v>237010.5429</v>
      </c>
      <c r="S408" s="6">
        <f>AVERAGE(S378:S407)</f>
        <v>85.84534028</v>
      </c>
    </row>
    <row r="409">
      <c r="D409" s="1" t="s">
        <v>16</v>
      </c>
      <c r="E409" s="1">
        <v>90.0</v>
      </c>
      <c r="F409" s="1">
        <v>20.0</v>
      </c>
      <c r="H409" s="1">
        <v>377909.395603465</v>
      </c>
      <c r="I409" s="1">
        <v>9.42909789085388</v>
      </c>
      <c r="J409" s="1">
        <v>523873.999999999</v>
      </c>
      <c r="K409" s="1">
        <v>443716.0</v>
      </c>
      <c r="L409" s="1">
        <v>443716.0</v>
      </c>
      <c r="M409" s="1">
        <v>1561.11550569534</v>
      </c>
      <c r="N409" s="1">
        <v>82585.0</v>
      </c>
      <c r="O409" s="5">
        <f t="shared" ref="O409:O438" si="40">100*(K409-L409)/K409</f>
        <v>0</v>
      </c>
      <c r="Q409" s="1">
        <v>378155.496006897</v>
      </c>
      <c r="S409" s="1">
        <v>108.818415641784</v>
      </c>
      <c r="U409" s="1">
        <v>95748.2041777691</v>
      </c>
      <c r="V409" s="1">
        <v>7.90663290023803</v>
      </c>
      <c r="X409" s="1">
        <v>371561.535767281</v>
      </c>
      <c r="Y409" s="1">
        <v>23.9625232219696</v>
      </c>
      <c r="Z409" s="1"/>
    </row>
    <row r="410">
      <c r="D410" s="1" t="s">
        <v>17</v>
      </c>
      <c r="E410" s="1">
        <v>90.0</v>
      </c>
      <c r="F410" s="1">
        <v>20.0</v>
      </c>
      <c r="H410" s="1">
        <v>393979.709616862</v>
      </c>
      <c r="I410" s="1">
        <v>9.4099760055542</v>
      </c>
      <c r="J410" s="1">
        <v>524877.0</v>
      </c>
      <c r="K410" s="1">
        <v>483945.0</v>
      </c>
      <c r="L410" s="1">
        <v>483945.0</v>
      </c>
      <c r="M410" s="1">
        <v>2065.63233685493</v>
      </c>
      <c r="N410" s="1">
        <v>101299.0</v>
      </c>
      <c r="O410" s="5">
        <f t="shared" si="40"/>
        <v>0</v>
      </c>
      <c r="Q410" s="1">
        <v>394226.008637262</v>
      </c>
      <c r="S410" s="1">
        <v>116.873311758041</v>
      </c>
      <c r="U410" s="1">
        <v>96218.9931442017</v>
      </c>
      <c r="V410" s="1">
        <v>7.80611133575439</v>
      </c>
      <c r="X410" s="1">
        <v>389735.108052499</v>
      </c>
      <c r="Y410" s="1">
        <v>21.8016726970672</v>
      </c>
      <c r="Z410" s="1"/>
    </row>
    <row r="411">
      <c r="D411" s="1" t="s">
        <v>18</v>
      </c>
      <c r="E411" s="1">
        <v>90.0</v>
      </c>
      <c r="F411" s="1">
        <v>20.0</v>
      </c>
      <c r="H411" s="1">
        <v>364591.795495571</v>
      </c>
      <c r="I411" s="1">
        <v>9.45004701614379</v>
      </c>
      <c r="J411" s="1">
        <v>439308.0</v>
      </c>
      <c r="K411" s="1">
        <v>428140.999999999</v>
      </c>
      <c r="L411" s="1">
        <v>428140.999999999</v>
      </c>
      <c r="M411" s="1">
        <v>435.660793542861</v>
      </c>
      <c r="N411" s="1">
        <v>29323.0</v>
      </c>
      <c r="O411" s="5">
        <f t="shared" si="40"/>
        <v>0</v>
      </c>
      <c r="Q411" s="1">
        <v>364808.912960396</v>
      </c>
      <c r="S411" s="1">
        <v>101.216212987899</v>
      </c>
      <c r="U411" s="1">
        <v>96053.002487538</v>
      </c>
      <c r="V411" s="1">
        <v>7.64785051345825</v>
      </c>
      <c r="X411" s="1">
        <v>359930.790387134</v>
      </c>
      <c r="Y411" s="1">
        <v>18.9052748680114</v>
      </c>
      <c r="Z411" s="1"/>
    </row>
    <row r="412">
      <c r="D412" s="1" t="s">
        <v>19</v>
      </c>
      <c r="E412" s="1">
        <v>90.0</v>
      </c>
      <c r="F412" s="1">
        <v>20.0</v>
      </c>
      <c r="H412" s="1">
        <v>396365.534330783</v>
      </c>
      <c r="I412" s="1">
        <v>9.41043591499328</v>
      </c>
      <c r="J412" s="1">
        <v>601016.0</v>
      </c>
      <c r="K412" s="1">
        <v>472815.999999999</v>
      </c>
      <c r="L412" s="1">
        <v>472815.999999999</v>
      </c>
      <c r="M412" s="1">
        <v>247.049221515655</v>
      </c>
      <c r="N412" s="1">
        <v>16459.0</v>
      </c>
      <c r="O412" s="5">
        <f t="shared" si="40"/>
        <v>0</v>
      </c>
      <c r="Q412" s="1">
        <v>396630.902240513</v>
      </c>
      <c r="S412" s="1">
        <v>107.475702762603</v>
      </c>
      <c r="U412" s="1">
        <v>96957.0106922846</v>
      </c>
      <c r="V412" s="1">
        <v>7.50883984565734</v>
      </c>
      <c r="X412" s="1">
        <v>393171.233531429</v>
      </c>
      <c r="Y412" s="1">
        <v>31.8760576248168</v>
      </c>
      <c r="Z412" s="1"/>
    </row>
    <row r="413">
      <c r="D413" s="1" t="s">
        <v>20</v>
      </c>
      <c r="E413" s="1">
        <v>90.0</v>
      </c>
      <c r="F413" s="1">
        <v>20.0</v>
      </c>
      <c r="H413" s="1">
        <v>401061.575897831</v>
      </c>
      <c r="I413" s="1">
        <v>9.41763401031494</v>
      </c>
      <c r="J413" s="1">
        <v>546621.0</v>
      </c>
      <c r="K413" s="1">
        <v>457432.999999999</v>
      </c>
      <c r="L413" s="1">
        <v>457432.999999999</v>
      </c>
      <c r="M413" s="1">
        <v>442.746741533279</v>
      </c>
      <c r="N413" s="1">
        <v>26745.0</v>
      </c>
      <c r="O413" s="5">
        <f t="shared" si="40"/>
        <v>0</v>
      </c>
      <c r="Q413" s="1">
        <v>401326.515630816</v>
      </c>
      <c r="S413" s="1">
        <v>85.1755089759826</v>
      </c>
      <c r="U413" s="1">
        <v>100386.476752338</v>
      </c>
      <c r="V413" s="1">
        <v>71.0778760910034</v>
      </c>
      <c r="X413" s="1">
        <v>395529.735175879</v>
      </c>
      <c r="Y413" s="1">
        <v>34.8693521022796</v>
      </c>
      <c r="Z413" s="1"/>
    </row>
    <row r="414">
      <c r="D414" s="1" t="s">
        <v>21</v>
      </c>
      <c r="E414" s="1">
        <v>90.0</v>
      </c>
      <c r="F414" s="1">
        <v>20.0</v>
      </c>
      <c r="H414" s="1">
        <v>379531.358381569</v>
      </c>
      <c r="I414" s="1">
        <v>9.43913054466247</v>
      </c>
      <c r="J414" s="1">
        <v>463603.0</v>
      </c>
      <c r="K414" s="1">
        <v>446664.999999999</v>
      </c>
      <c r="L414" s="1">
        <v>446462.29490812</v>
      </c>
      <c r="M414" s="1">
        <v>3600.00556135177</v>
      </c>
      <c r="N414" s="1">
        <v>156345.0</v>
      </c>
      <c r="O414" s="5">
        <f t="shared" si="40"/>
        <v>0.04538190632</v>
      </c>
      <c r="Q414" s="1">
        <v>379785.185524298</v>
      </c>
      <c r="S414" s="1">
        <v>115.654575586318</v>
      </c>
      <c r="U414" s="1">
        <v>96093.0101061882</v>
      </c>
      <c r="V414" s="1">
        <v>7.81064581871032</v>
      </c>
      <c r="X414" s="1">
        <v>370880.072667454</v>
      </c>
      <c r="Y414" s="1">
        <v>27.7116146087646</v>
      </c>
      <c r="Z414" s="1"/>
    </row>
    <row r="415">
      <c r="D415" s="1" t="s">
        <v>22</v>
      </c>
      <c r="E415" s="1">
        <v>90.0</v>
      </c>
      <c r="F415" s="1">
        <v>20.0</v>
      </c>
      <c r="H415" s="1">
        <v>397988.165077511</v>
      </c>
      <c r="I415" s="1">
        <v>9.3773398399353</v>
      </c>
      <c r="J415" s="1">
        <v>585575.0</v>
      </c>
      <c r="K415" s="1">
        <v>497221.0</v>
      </c>
      <c r="L415" s="1">
        <v>491091.5293542</v>
      </c>
      <c r="M415" s="1">
        <v>3600.0011806488</v>
      </c>
      <c r="N415" s="1">
        <v>140145.0</v>
      </c>
      <c r="O415" s="5">
        <f t="shared" si="40"/>
        <v>1.23274573</v>
      </c>
      <c r="Q415" s="1">
        <v>398206.01438388</v>
      </c>
      <c r="S415" s="1">
        <v>105.457368850708</v>
      </c>
      <c r="U415" s="1">
        <v>97994.7139220161</v>
      </c>
      <c r="V415" s="1">
        <v>23.7614560127258</v>
      </c>
      <c r="X415" s="1">
        <v>394268.343860685</v>
      </c>
      <c r="Y415" s="1">
        <v>27.3807606697082</v>
      </c>
      <c r="Z415" s="1"/>
    </row>
    <row r="416">
      <c r="D416" s="1" t="s">
        <v>23</v>
      </c>
      <c r="E416" s="1">
        <v>90.0</v>
      </c>
      <c r="F416" s="1">
        <v>20.0</v>
      </c>
      <c r="H416" s="1">
        <v>404116.247888878</v>
      </c>
      <c r="I416" s="1">
        <v>9.41801857948303</v>
      </c>
      <c r="J416" s="1">
        <v>598408.999999999</v>
      </c>
      <c r="K416" s="1">
        <v>490678.0</v>
      </c>
      <c r="L416" s="1">
        <v>490198.019277631</v>
      </c>
      <c r="M416" s="7">
        <v>3600.04089498519</v>
      </c>
      <c r="N416" s="1">
        <v>128277.0</v>
      </c>
      <c r="O416" s="5">
        <f t="shared" si="40"/>
        <v>0.09781989866</v>
      </c>
      <c r="Q416" s="1">
        <v>404391.660486471</v>
      </c>
      <c r="S416" s="1">
        <v>89.4127008914947</v>
      </c>
      <c r="U416" s="1">
        <v>97720.0133240763</v>
      </c>
      <c r="V416" s="1">
        <v>8.20752048492431</v>
      </c>
      <c r="X416" s="1">
        <v>398602.08147726</v>
      </c>
      <c r="Y416" s="1">
        <v>28.4115777015686</v>
      </c>
      <c r="Z416" s="1"/>
    </row>
    <row r="417">
      <c r="D417" s="1" t="s">
        <v>24</v>
      </c>
      <c r="E417" s="1">
        <v>90.0</v>
      </c>
      <c r="F417" s="1">
        <v>20.0</v>
      </c>
      <c r="H417" s="1">
        <v>409344.031106971</v>
      </c>
      <c r="I417" s="1">
        <v>9.44987893104553</v>
      </c>
      <c r="J417" s="1">
        <v>512671.999999999</v>
      </c>
      <c r="K417" s="1">
        <v>476713.999999999</v>
      </c>
      <c r="L417" s="1">
        <v>476713.999999999</v>
      </c>
      <c r="M417" s="1">
        <v>793.509540796279</v>
      </c>
      <c r="N417" s="1">
        <v>47835.0</v>
      </c>
      <c r="O417" s="5">
        <f t="shared" si="40"/>
        <v>0</v>
      </c>
      <c r="Q417" s="1">
        <v>409633.474843008</v>
      </c>
      <c r="S417" s="1">
        <v>94.4094090461731</v>
      </c>
      <c r="U417" s="1">
        <v>97033.4265753411</v>
      </c>
      <c r="V417" s="1">
        <v>7.93917202949523</v>
      </c>
      <c r="X417" s="1">
        <v>404520.242940141</v>
      </c>
      <c r="Y417" s="1">
        <v>44.9369897842407</v>
      </c>
      <c r="Z417" s="1"/>
    </row>
    <row r="418">
      <c r="D418" s="1" t="s">
        <v>25</v>
      </c>
      <c r="E418" s="1">
        <v>90.0</v>
      </c>
      <c r="F418" s="1">
        <v>20.0</v>
      </c>
      <c r="H418" s="1">
        <v>400389.842733124</v>
      </c>
      <c r="I418" s="1">
        <v>9.43581366539001</v>
      </c>
      <c r="J418" s="1">
        <v>510161.0</v>
      </c>
      <c r="K418" s="1">
        <v>464944.0</v>
      </c>
      <c r="L418" s="1">
        <v>464944.0</v>
      </c>
      <c r="M418" s="1">
        <v>132.544888973236</v>
      </c>
      <c r="N418" s="1">
        <v>8941.0</v>
      </c>
      <c r="O418" s="5">
        <f t="shared" si="40"/>
        <v>0</v>
      </c>
      <c r="Q418" s="1">
        <v>400672.301914221</v>
      </c>
      <c r="S418" s="1">
        <v>122.796330690383</v>
      </c>
      <c r="U418" s="1">
        <v>96874.8574557017</v>
      </c>
      <c r="V418" s="1">
        <v>7.96477603912353</v>
      </c>
      <c r="X418" s="1">
        <v>397031.681889287</v>
      </c>
      <c r="Y418" s="1">
        <v>42.8509109020233</v>
      </c>
      <c r="Z418" s="1"/>
    </row>
    <row r="419">
      <c r="D419" s="1" t="s">
        <v>26</v>
      </c>
      <c r="E419" s="1">
        <v>90.0</v>
      </c>
      <c r="F419" s="1">
        <v>20.0</v>
      </c>
      <c r="H419" s="1">
        <v>408706.203433756</v>
      </c>
      <c r="I419" s="1">
        <v>9.44988536834716</v>
      </c>
      <c r="J419" s="1">
        <v>555288.0</v>
      </c>
      <c r="K419" s="1">
        <v>474391.0</v>
      </c>
      <c r="L419" s="1">
        <v>474391.0</v>
      </c>
      <c r="M419" s="1">
        <v>635.207098960876</v>
      </c>
      <c r="N419" s="1">
        <v>38661.0</v>
      </c>
      <c r="O419" s="5">
        <f t="shared" si="40"/>
        <v>0</v>
      </c>
      <c r="Q419" s="1">
        <v>408969.463662978</v>
      </c>
      <c r="S419" s="1">
        <v>93.1654157638549</v>
      </c>
      <c r="U419" s="1">
        <v>100022.623466886</v>
      </c>
      <c r="V419" s="1">
        <v>56.7412846088409</v>
      </c>
      <c r="X419" s="1">
        <v>404375.501373093</v>
      </c>
      <c r="Y419" s="1">
        <v>41.4930379390716</v>
      </c>
      <c r="Z419" s="1"/>
    </row>
    <row r="420">
      <c r="D420" s="1" t="s">
        <v>27</v>
      </c>
      <c r="E420" s="1">
        <v>90.0</v>
      </c>
      <c r="F420" s="1">
        <v>20.0</v>
      </c>
      <c r="H420" s="1">
        <v>405006.745204117</v>
      </c>
      <c r="I420" s="1">
        <v>9.43218612670898</v>
      </c>
      <c r="J420" s="1">
        <v>549994.0</v>
      </c>
      <c r="K420" s="1">
        <v>477816.0</v>
      </c>
      <c r="L420" s="1">
        <v>477816.0</v>
      </c>
      <c r="M420" s="1">
        <v>941.7084171772</v>
      </c>
      <c r="N420" s="1">
        <v>54415.0</v>
      </c>
      <c r="O420" s="5">
        <f t="shared" si="40"/>
        <v>0</v>
      </c>
      <c r="Q420" s="1">
        <v>405272.095581096</v>
      </c>
      <c r="S420" s="1">
        <v>125.775288581848</v>
      </c>
      <c r="U420" s="1">
        <v>94721.8697754608</v>
      </c>
      <c r="V420" s="1">
        <v>7.42666697502136</v>
      </c>
      <c r="X420" s="1">
        <v>400314.737187504</v>
      </c>
      <c r="Y420" s="1">
        <v>20.6574897766113</v>
      </c>
      <c r="Z420" s="1"/>
    </row>
    <row r="421">
      <c r="D421" s="1" t="s">
        <v>28</v>
      </c>
      <c r="E421" s="1">
        <v>90.0</v>
      </c>
      <c r="F421" s="1">
        <v>20.0</v>
      </c>
      <c r="H421" s="1">
        <v>385565.206377631</v>
      </c>
      <c r="I421" s="1">
        <v>9.41811871528625</v>
      </c>
      <c r="J421" s="1">
        <v>552829.0</v>
      </c>
      <c r="K421" s="1">
        <v>464157.999999999</v>
      </c>
      <c r="L421" s="1">
        <v>464157.999999999</v>
      </c>
      <c r="M421" s="1">
        <v>3297.07253789901</v>
      </c>
      <c r="N421" s="1">
        <v>128937.0</v>
      </c>
      <c r="O421" s="5">
        <f t="shared" si="40"/>
        <v>0</v>
      </c>
      <c r="Q421" s="1">
        <v>385816.483736482</v>
      </c>
      <c r="S421" s="1">
        <v>96.5752758979797</v>
      </c>
      <c r="U421" s="1">
        <v>96144.5273803726</v>
      </c>
      <c r="V421" s="1">
        <v>7.72020053863525</v>
      </c>
      <c r="X421" s="1">
        <v>382479.555488732</v>
      </c>
      <c r="Y421" s="1">
        <v>28.1191444396972</v>
      </c>
      <c r="Z421" s="1"/>
    </row>
    <row r="422">
      <c r="D422" s="1" t="s">
        <v>29</v>
      </c>
      <c r="E422" s="1">
        <v>90.0</v>
      </c>
      <c r="F422" s="1">
        <v>20.0</v>
      </c>
      <c r="H422" s="1">
        <v>391495.002908588</v>
      </c>
      <c r="I422" s="1">
        <v>9.4252917766571</v>
      </c>
      <c r="J422" s="1">
        <v>531003.0</v>
      </c>
      <c r="K422" s="1">
        <v>475232.0</v>
      </c>
      <c r="L422" s="1">
        <v>475232.0</v>
      </c>
      <c r="M422" s="1">
        <v>3099.78816437721</v>
      </c>
      <c r="N422" s="1">
        <v>125639.0</v>
      </c>
      <c r="O422" s="5">
        <f t="shared" si="40"/>
        <v>0</v>
      </c>
      <c r="Q422" s="1">
        <v>391768.625376249</v>
      </c>
      <c r="S422" s="1">
        <v>109.461617708206</v>
      </c>
      <c r="U422" s="1">
        <v>96602.9990793011</v>
      </c>
      <c r="V422" s="1">
        <v>9.64482235908508</v>
      </c>
      <c r="X422" s="1">
        <v>386995.720299841</v>
      </c>
      <c r="Y422" s="1">
        <v>29.1613972187042</v>
      </c>
      <c r="Z422" s="1"/>
    </row>
    <row r="423">
      <c r="D423" s="1" t="s">
        <v>30</v>
      </c>
      <c r="E423" s="1">
        <v>90.0</v>
      </c>
      <c r="F423" s="1">
        <v>20.0</v>
      </c>
      <c r="H423" s="1">
        <v>410114.800077552</v>
      </c>
      <c r="I423" s="1">
        <v>9.58612871170044</v>
      </c>
      <c r="J423" s="1">
        <v>636835.0</v>
      </c>
      <c r="K423" s="1">
        <v>495718.0</v>
      </c>
      <c r="L423" s="1">
        <v>495718.0</v>
      </c>
      <c r="M423" s="1">
        <v>1016.51646757125</v>
      </c>
      <c r="N423" s="1">
        <v>59099.0</v>
      </c>
      <c r="O423" s="5">
        <f t="shared" si="40"/>
        <v>0</v>
      </c>
      <c r="Q423" s="1">
        <v>410401.191988627</v>
      </c>
      <c r="S423" s="1">
        <v>104.788736581802</v>
      </c>
      <c r="U423" s="1">
        <v>95969.0003406006</v>
      </c>
      <c r="V423" s="1">
        <v>8.51267719268798</v>
      </c>
      <c r="X423" s="1">
        <v>406472.998375396</v>
      </c>
      <c r="Y423" s="1">
        <v>67.7167093753814</v>
      </c>
      <c r="Z423" s="1"/>
    </row>
    <row r="424">
      <c r="D424" s="1" t="s">
        <v>31</v>
      </c>
      <c r="E424" s="1">
        <v>90.0</v>
      </c>
      <c r="F424" s="1">
        <v>20.0</v>
      </c>
      <c r="H424" s="1">
        <v>385058.45098711</v>
      </c>
      <c r="I424" s="1">
        <v>9.60349893569946</v>
      </c>
      <c r="J424" s="1">
        <v>477196.0</v>
      </c>
      <c r="K424" s="1">
        <v>461042.0</v>
      </c>
      <c r="L424" s="1">
        <v>461042.0</v>
      </c>
      <c r="M424" s="1">
        <v>140.126090764999</v>
      </c>
      <c r="N424" s="1">
        <v>9957.0</v>
      </c>
      <c r="O424" s="5">
        <f t="shared" si="40"/>
        <v>0</v>
      </c>
      <c r="Q424" s="1">
        <v>385285.97841402</v>
      </c>
      <c r="S424" s="1">
        <v>114.684820413589</v>
      </c>
      <c r="U424" s="1">
        <v>96842.9916481057</v>
      </c>
      <c r="V424" s="1">
        <v>7.96702551841735</v>
      </c>
      <c r="X424" s="1">
        <v>380467.219211574</v>
      </c>
      <c r="Y424" s="1">
        <v>17.603487253189</v>
      </c>
      <c r="Z424" s="1"/>
    </row>
    <row r="425">
      <c r="D425" s="1" t="s">
        <v>32</v>
      </c>
      <c r="E425" s="1">
        <v>90.0</v>
      </c>
      <c r="F425" s="1">
        <v>20.0</v>
      </c>
      <c r="H425" s="1">
        <v>402301.352916965</v>
      </c>
      <c r="I425" s="1">
        <v>9.61007189750671</v>
      </c>
      <c r="J425" s="1">
        <v>514468.0</v>
      </c>
      <c r="K425" s="1">
        <v>476014.0</v>
      </c>
      <c r="L425" s="1">
        <v>476014.0</v>
      </c>
      <c r="M425" s="1">
        <v>1012.19840049743</v>
      </c>
      <c r="N425" s="1">
        <v>59483.0</v>
      </c>
      <c r="O425" s="5">
        <f t="shared" si="40"/>
        <v>0</v>
      </c>
      <c r="Q425" s="1">
        <v>402540.611479139</v>
      </c>
      <c r="S425" s="1">
        <v>102.461220026016</v>
      </c>
      <c r="U425" s="1">
        <v>97484.8041736211</v>
      </c>
      <c r="V425" s="1">
        <v>32.6173112392425</v>
      </c>
      <c r="X425" s="1">
        <v>398075.806362656</v>
      </c>
      <c r="Y425" s="1">
        <v>18.196902513504</v>
      </c>
      <c r="Z425" s="1"/>
    </row>
    <row r="426">
      <c r="D426" s="1" t="s">
        <v>33</v>
      </c>
      <c r="E426" s="1">
        <v>90.0</v>
      </c>
      <c r="F426" s="1">
        <v>20.0</v>
      </c>
      <c r="H426" s="1">
        <v>419885.209593658</v>
      </c>
      <c r="I426" s="1">
        <v>9.60213899612426</v>
      </c>
      <c r="J426" s="1">
        <v>634879.0</v>
      </c>
      <c r="K426" s="1">
        <v>515827.0</v>
      </c>
      <c r="L426" s="1">
        <v>512942.75456524</v>
      </c>
      <c r="M426" s="1">
        <v>3600.01157903671</v>
      </c>
      <c r="N426" s="1">
        <v>141413.0</v>
      </c>
      <c r="O426" s="5">
        <f t="shared" si="40"/>
        <v>0.5591497604</v>
      </c>
      <c r="Q426" s="1">
        <v>420163.591403525</v>
      </c>
      <c r="S426" s="1">
        <v>86.4680755138397</v>
      </c>
      <c r="U426" s="1">
        <v>98561.5318363846</v>
      </c>
      <c r="V426" s="1">
        <v>96.3824181556701</v>
      </c>
      <c r="X426" s="1">
        <v>414098.311533981</v>
      </c>
      <c r="Y426" s="1">
        <v>41.1051301956176</v>
      </c>
      <c r="Z426" s="1"/>
    </row>
    <row r="427">
      <c r="D427" s="1" t="s">
        <v>34</v>
      </c>
      <c r="E427" s="1">
        <v>90.0</v>
      </c>
      <c r="F427" s="1">
        <v>20.0</v>
      </c>
      <c r="H427" s="1">
        <v>391954.565412756</v>
      </c>
      <c r="I427" s="1">
        <v>9.5843641757965</v>
      </c>
      <c r="J427" s="1">
        <v>595507.0</v>
      </c>
      <c r="K427" s="1">
        <v>496374.0</v>
      </c>
      <c r="L427" s="1">
        <v>481460.616752618</v>
      </c>
      <c r="M427" s="1">
        <v>3600.03410410881</v>
      </c>
      <c r="N427" s="1">
        <v>132107.0</v>
      </c>
      <c r="O427" s="5">
        <f t="shared" si="40"/>
        <v>3.00446503</v>
      </c>
      <c r="Q427" s="1">
        <v>392197.663210973</v>
      </c>
      <c r="S427" s="1">
        <v>117.587143421173</v>
      </c>
      <c r="U427" s="1">
        <v>96901.7685209759</v>
      </c>
      <c r="V427" s="1">
        <v>9.67269158363342</v>
      </c>
      <c r="X427" s="1">
        <v>387035.222519133</v>
      </c>
      <c r="Y427" s="1">
        <v>26.721001625061</v>
      </c>
      <c r="Z427" s="1"/>
    </row>
    <row r="428">
      <c r="D428" s="1" t="s">
        <v>35</v>
      </c>
      <c r="E428" s="1">
        <v>90.0</v>
      </c>
      <c r="F428" s="1">
        <v>20.0</v>
      </c>
      <c r="H428" s="1">
        <v>373641.648146368</v>
      </c>
      <c r="I428" s="1">
        <v>9.5785756111145</v>
      </c>
      <c r="J428" s="1">
        <v>468276.0</v>
      </c>
      <c r="K428" s="1">
        <v>439594.999999999</v>
      </c>
      <c r="L428" s="1">
        <v>439594.999999999</v>
      </c>
      <c r="M428" s="1">
        <v>1060.06983590126</v>
      </c>
      <c r="N428" s="1">
        <v>60323.0</v>
      </c>
      <c r="O428" s="5">
        <f t="shared" si="40"/>
        <v>0</v>
      </c>
      <c r="Q428" s="1">
        <v>373853.258180664</v>
      </c>
      <c r="S428" s="1">
        <v>47.8203966617584</v>
      </c>
      <c r="U428" s="1">
        <v>93995.9995530236</v>
      </c>
      <c r="V428" s="1">
        <v>8.73927998542785</v>
      </c>
      <c r="X428" s="1">
        <v>368225.646085364</v>
      </c>
      <c r="Y428" s="1">
        <v>20.9166877269744</v>
      </c>
      <c r="Z428" s="1"/>
    </row>
    <row r="429">
      <c r="D429" s="1" t="s">
        <v>36</v>
      </c>
      <c r="E429" s="1">
        <v>90.0</v>
      </c>
      <c r="F429" s="1">
        <v>20.0</v>
      </c>
      <c r="H429" s="1">
        <v>405407.643338678</v>
      </c>
      <c r="I429" s="1">
        <v>9.63183617591857</v>
      </c>
      <c r="J429" s="1">
        <v>488179.0</v>
      </c>
      <c r="K429" s="1">
        <v>440445.999999999</v>
      </c>
      <c r="L429" s="1">
        <v>440445.999999999</v>
      </c>
      <c r="M429" s="1">
        <v>24.9964251518249</v>
      </c>
      <c r="N429" s="1">
        <v>1137.0</v>
      </c>
      <c r="O429" s="5">
        <f t="shared" si="40"/>
        <v>0</v>
      </c>
      <c r="Q429" s="1">
        <v>405708.160912759</v>
      </c>
      <c r="S429" s="1">
        <v>131.280363559722</v>
      </c>
      <c r="U429" s="1">
        <v>98852.8030534145</v>
      </c>
      <c r="V429" s="1">
        <v>7.92771196365356</v>
      </c>
      <c r="X429" s="1">
        <v>400233.838636005</v>
      </c>
      <c r="Y429" s="1">
        <v>39.4910786151886</v>
      </c>
      <c r="Z429" s="1"/>
    </row>
    <row r="430">
      <c r="D430" s="1" t="s">
        <v>37</v>
      </c>
      <c r="E430" s="1">
        <v>90.0</v>
      </c>
      <c r="F430" s="1">
        <v>20.0</v>
      </c>
      <c r="H430" s="1">
        <v>406135.821382416</v>
      </c>
      <c r="I430" s="1">
        <v>9.61410689353942</v>
      </c>
      <c r="J430" s="1">
        <v>474328.0</v>
      </c>
      <c r="K430" s="1">
        <v>438295.999999999</v>
      </c>
      <c r="L430" s="1">
        <v>438295.999999999</v>
      </c>
      <c r="M430" s="1">
        <v>22.7396078109741</v>
      </c>
      <c r="N430" s="1">
        <v>961.0</v>
      </c>
      <c r="O430" s="5">
        <f t="shared" si="40"/>
        <v>0</v>
      </c>
      <c r="Q430" s="1">
        <v>406397.283403138</v>
      </c>
      <c r="S430" s="1">
        <v>84.9977023601532</v>
      </c>
      <c r="U430" s="1">
        <v>98225.9952740972</v>
      </c>
      <c r="V430" s="1">
        <v>8.64345979690551</v>
      </c>
      <c r="X430" s="1">
        <v>399993.642754854</v>
      </c>
      <c r="Y430" s="1">
        <v>50.0117654800415</v>
      </c>
      <c r="Z430" s="1"/>
    </row>
    <row r="431">
      <c r="D431" s="1" t="s">
        <v>38</v>
      </c>
      <c r="E431" s="1">
        <v>90.0</v>
      </c>
      <c r="F431" s="1">
        <v>20.0</v>
      </c>
      <c r="H431" s="1">
        <v>381156.806925023</v>
      </c>
      <c r="I431" s="1">
        <v>9.65941309928894</v>
      </c>
      <c r="J431" s="1">
        <v>488885.0</v>
      </c>
      <c r="K431" s="1">
        <v>445607.0</v>
      </c>
      <c r="L431" s="1">
        <v>445607.0</v>
      </c>
      <c r="M431" s="1">
        <v>801.6638879776</v>
      </c>
      <c r="N431" s="1">
        <v>48869.0</v>
      </c>
      <c r="O431" s="5">
        <f t="shared" si="40"/>
        <v>0</v>
      </c>
      <c r="Q431" s="1">
        <v>381413.373845648</v>
      </c>
      <c r="S431" s="1">
        <v>130.935362100601</v>
      </c>
      <c r="U431" s="1">
        <v>96678.9918705074</v>
      </c>
      <c r="V431" s="1">
        <v>7.68856239318847</v>
      </c>
      <c r="X431" s="1">
        <v>375035.363891389</v>
      </c>
      <c r="Y431" s="1">
        <v>30.5432739257812</v>
      </c>
      <c r="Z431" s="1"/>
    </row>
    <row r="432">
      <c r="D432" s="1" t="s">
        <v>39</v>
      </c>
      <c r="E432" s="1">
        <v>90.0</v>
      </c>
      <c r="F432" s="1">
        <v>20.0</v>
      </c>
      <c r="H432" s="1">
        <v>384717.608034414</v>
      </c>
      <c r="I432" s="1">
        <v>9.64525771141052</v>
      </c>
      <c r="J432" s="1">
        <v>482601.999999999</v>
      </c>
      <c r="K432" s="1">
        <v>452352.0</v>
      </c>
      <c r="L432" s="1">
        <v>452352.0</v>
      </c>
      <c r="M432" s="1">
        <v>873.982354402542</v>
      </c>
      <c r="N432" s="1">
        <v>51933.0</v>
      </c>
      <c r="O432" s="5">
        <f t="shared" si="40"/>
        <v>0</v>
      </c>
      <c r="Q432" s="1">
        <v>384970.163612416</v>
      </c>
      <c r="S432" s="1">
        <v>97.2031588554382</v>
      </c>
      <c r="U432" s="1">
        <v>92955.9928218643</v>
      </c>
      <c r="V432" s="1">
        <v>9.11039423942566</v>
      </c>
      <c r="X432" s="1">
        <v>374197.576795293</v>
      </c>
      <c r="Y432" s="1">
        <v>22.5655543804168</v>
      </c>
      <c r="Z432" s="1"/>
    </row>
    <row r="433">
      <c r="D433" s="1" t="s">
        <v>40</v>
      </c>
      <c r="E433" s="1">
        <v>90.0</v>
      </c>
      <c r="F433" s="1">
        <v>20.0</v>
      </c>
      <c r="H433" s="1">
        <v>407681.365155305</v>
      </c>
      <c r="I433" s="1">
        <v>9.6597135066986</v>
      </c>
      <c r="J433" s="1">
        <v>527314.0</v>
      </c>
      <c r="K433" s="1">
        <v>470088.999999999</v>
      </c>
      <c r="L433" s="1">
        <v>470088.999999999</v>
      </c>
      <c r="M433" s="1">
        <v>439.284036874771</v>
      </c>
      <c r="N433" s="1">
        <v>26409.0</v>
      </c>
      <c r="O433" s="5">
        <f t="shared" si="40"/>
        <v>0</v>
      </c>
      <c r="Q433" s="1">
        <v>407933.807431011</v>
      </c>
      <c r="S433" s="1">
        <v>81.5020833015441</v>
      </c>
      <c r="U433" s="1">
        <v>97871.0163208727</v>
      </c>
      <c r="V433" s="1">
        <v>7.69747638702392</v>
      </c>
      <c r="X433" s="1">
        <v>403474.065643649</v>
      </c>
      <c r="Y433" s="1">
        <v>24.4798696041107</v>
      </c>
      <c r="Z433" s="1"/>
    </row>
    <row r="434">
      <c r="D434" s="1" t="s">
        <v>41</v>
      </c>
      <c r="E434" s="1">
        <v>90.0</v>
      </c>
      <c r="F434" s="1">
        <v>20.0</v>
      </c>
      <c r="H434" s="1">
        <v>400902.719541353</v>
      </c>
      <c r="I434" s="1">
        <v>9.62390160560607</v>
      </c>
      <c r="J434" s="1">
        <v>553524.0</v>
      </c>
      <c r="K434" s="1">
        <v>457016.999999999</v>
      </c>
      <c r="L434" s="1">
        <v>457016.999999999</v>
      </c>
      <c r="M434" s="1">
        <v>105.653900146484</v>
      </c>
      <c r="N434" s="1">
        <v>6629.0</v>
      </c>
      <c r="O434" s="5">
        <f t="shared" si="40"/>
        <v>0</v>
      </c>
      <c r="Q434" s="1">
        <v>401162.684422002</v>
      </c>
      <c r="S434" s="1">
        <v>73.3362650871276</v>
      </c>
      <c r="U434" s="1">
        <v>96206.2817382128</v>
      </c>
      <c r="V434" s="1">
        <v>14.9818658828735</v>
      </c>
      <c r="X434" s="1">
        <v>397091.182312015</v>
      </c>
      <c r="Y434" s="1">
        <v>29.4843347072601</v>
      </c>
      <c r="Z434" s="1"/>
    </row>
    <row r="435">
      <c r="D435" s="1" t="s">
        <v>42</v>
      </c>
      <c r="E435" s="1">
        <v>90.0</v>
      </c>
      <c r="F435" s="1">
        <v>20.0</v>
      </c>
      <c r="H435" s="1">
        <v>391809.108269261</v>
      </c>
      <c r="I435" s="1">
        <v>9.70729351043701</v>
      </c>
      <c r="J435" s="1">
        <v>508465.999999999</v>
      </c>
      <c r="K435" s="1">
        <v>458703.0</v>
      </c>
      <c r="L435" s="1">
        <v>458703.0</v>
      </c>
      <c r="M435" s="1">
        <v>2720.98664379119</v>
      </c>
      <c r="N435" s="1">
        <v>114587.0</v>
      </c>
      <c r="O435" s="5">
        <f t="shared" si="40"/>
        <v>0</v>
      </c>
      <c r="Q435" s="1">
        <v>392090.911800781</v>
      </c>
      <c r="S435" s="1">
        <v>101.870960235595</v>
      </c>
      <c r="U435" s="1">
        <v>96558.9987419552</v>
      </c>
      <c r="V435" s="1">
        <v>8.69662976264953</v>
      </c>
      <c r="X435" s="1">
        <v>385612.213167972</v>
      </c>
      <c r="Y435" s="1">
        <v>46.9261109828949</v>
      </c>
      <c r="Z435" s="1"/>
    </row>
    <row r="436">
      <c r="D436" s="1" t="s">
        <v>43</v>
      </c>
      <c r="E436" s="1">
        <v>90.0</v>
      </c>
      <c r="F436" s="1">
        <v>20.0</v>
      </c>
      <c r="H436" s="1">
        <v>395986.635080406</v>
      </c>
      <c r="I436" s="1">
        <v>9.64209842681884</v>
      </c>
      <c r="J436" s="1">
        <v>517013.0</v>
      </c>
      <c r="K436" s="1">
        <v>477552.0</v>
      </c>
      <c r="L436" s="1">
        <v>477552.0</v>
      </c>
      <c r="M436" s="1">
        <v>3172.49793314933</v>
      </c>
      <c r="N436" s="1">
        <v>129215.0</v>
      </c>
      <c r="O436" s="5">
        <f t="shared" si="40"/>
        <v>0</v>
      </c>
      <c r="Q436" s="1">
        <v>396231.253950749</v>
      </c>
      <c r="S436" s="1">
        <v>100.780882596969</v>
      </c>
      <c r="U436" s="1">
        <v>98359.9951561878</v>
      </c>
      <c r="V436" s="1">
        <v>7.28625059127807</v>
      </c>
      <c r="X436" s="1">
        <v>390085.796352113</v>
      </c>
      <c r="Y436" s="1">
        <v>25.8697869777679</v>
      </c>
      <c r="Z436" s="1"/>
    </row>
    <row r="437">
      <c r="D437" s="1" t="s">
        <v>44</v>
      </c>
      <c r="E437" s="1">
        <v>90.0</v>
      </c>
      <c r="F437" s="1">
        <v>20.0</v>
      </c>
      <c r="H437" s="1">
        <v>383644.736491235</v>
      </c>
      <c r="I437" s="1">
        <v>9.6905128955841</v>
      </c>
      <c r="J437" s="1">
        <v>486497.0</v>
      </c>
      <c r="K437" s="1">
        <v>436835.0</v>
      </c>
      <c r="L437" s="1">
        <v>436835.0</v>
      </c>
      <c r="M437" s="1">
        <v>112.289872646331</v>
      </c>
      <c r="N437" s="1">
        <v>7171.0</v>
      </c>
      <c r="O437" s="5">
        <f t="shared" si="40"/>
        <v>0</v>
      </c>
      <c r="Q437" s="1">
        <v>383894.485182558</v>
      </c>
      <c r="S437" s="1">
        <v>89.6248245239257</v>
      </c>
      <c r="U437" s="1">
        <v>98205.0119885667</v>
      </c>
      <c r="V437" s="1">
        <v>8.95354795455932</v>
      </c>
      <c r="X437" s="1">
        <v>378529.884733084</v>
      </c>
      <c r="Y437" s="1">
        <v>16.9983761310577</v>
      </c>
      <c r="Z437" s="1"/>
    </row>
    <row r="438">
      <c r="D438" s="1" t="s">
        <v>45</v>
      </c>
      <c r="E438" s="1">
        <v>90.0</v>
      </c>
      <c r="F438" s="1">
        <v>20.0</v>
      </c>
      <c r="H438" s="1">
        <v>383822.183944872</v>
      </c>
      <c r="I438" s="1">
        <v>9.64499711990356</v>
      </c>
      <c r="J438" s="1">
        <v>558882.0</v>
      </c>
      <c r="K438" s="1">
        <v>461911.0</v>
      </c>
      <c r="L438" s="1">
        <v>461911.0</v>
      </c>
      <c r="M438" s="1">
        <v>1383.57101678848</v>
      </c>
      <c r="N438" s="1">
        <v>76623.0</v>
      </c>
      <c r="O438" s="5">
        <f t="shared" si="40"/>
        <v>0</v>
      </c>
      <c r="Q438" s="1">
        <v>384063.784702977</v>
      </c>
      <c r="S438" s="1">
        <v>88.9837610721588</v>
      </c>
      <c r="U438" s="1">
        <v>99469.6071646413</v>
      </c>
      <c r="V438" s="1">
        <v>13.0629167556762</v>
      </c>
      <c r="X438" s="1">
        <v>378518.687643329</v>
      </c>
      <c r="Y438" s="1">
        <v>24.6337857246398</v>
      </c>
      <c r="Z438" s="1"/>
    </row>
    <row r="439">
      <c r="D439" s="1"/>
      <c r="E439" s="6">
        <f t="shared" ref="E439:F439" si="41">AVERAGE(E409:E438)</f>
        <v>90</v>
      </c>
      <c r="F439" s="6">
        <f t="shared" si="41"/>
        <v>20</v>
      </c>
      <c r="H439" s="6">
        <f t="shared" ref="H439:O439" si="42">AVERAGE(H409:H438)</f>
        <v>394675.7156</v>
      </c>
      <c r="I439" s="6">
        <f t="shared" si="42"/>
        <v>9.534892122</v>
      </c>
      <c r="J439" s="6">
        <f t="shared" si="42"/>
        <v>530269.3667</v>
      </c>
      <c r="K439" s="6">
        <f t="shared" si="42"/>
        <v>465908.2667</v>
      </c>
      <c r="L439" s="6">
        <f t="shared" si="42"/>
        <v>465087.9405</v>
      </c>
      <c r="M439" s="6">
        <f t="shared" si="42"/>
        <v>1484.623501</v>
      </c>
      <c r="N439" s="6">
        <f t="shared" si="42"/>
        <v>67050.73333</v>
      </c>
      <c r="O439" s="6">
        <f t="shared" si="42"/>
        <v>0.1646520775</v>
      </c>
      <c r="Q439" s="6">
        <f>AVERAGE(Q409:Q438)</f>
        <v>394932.3782</v>
      </c>
      <c r="S439" s="6">
        <f>AVERAGE(S409:S438)</f>
        <v>100.8864297</v>
      </c>
    </row>
    <row r="440">
      <c r="D440" s="1" t="s">
        <v>16</v>
      </c>
      <c r="E440" s="1">
        <v>90.0</v>
      </c>
      <c r="F440" s="1">
        <v>25.0</v>
      </c>
      <c r="H440" s="1">
        <v>588115.488627782</v>
      </c>
      <c r="I440" s="1">
        <v>9.83880639076232</v>
      </c>
      <c r="J440" s="1">
        <v>661683.0</v>
      </c>
      <c r="K440" s="1">
        <v>652388.0</v>
      </c>
      <c r="L440" s="1">
        <v>652388.0</v>
      </c>
      <c r="M440" s="1">
        <v>2013.07897782325</v>
      </c>
      <c r="N440" s="1">
        <v>100459.0</v>
      </c>
      <c r="O440" s="5">
        <f t="shared" ref="O440:O469" si="43">100*(K440-L440)/K440</f>
        <v>0</v>
      </c>
      <c r="Q440" s="1">
        <v>588377.219218422</v>
      </c>
      <c r="S440" s="1">
        <v>144.240588426589</v>
      </c>
      <c r="U440" s="1">
        <v>104028.998449398</v>
      </c>
      <c r="V440" s="1">
        <v>12.5710053443908</v>
      </c>
      <c r="X440" s="1">
        <v>581360.339408594</v>
      </c>
      <c r="Y440" s="1">
        <v>32.3842778205871</v>
      </c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D441" s="1" t="s">
        <v>17</v>
      </c>
      <c r="E441" s="1">
        <v>90.0</v>
      </c>
      <c r="F441" s="1">
        <v>25.0</v>
      </c>
      <c r="H441" s="1">
        <v>642735.105602071</v>
      </c>
      <c r="I441" s="1">
        <v>9.81070709228515</v>
      </c>
      <c r="J441" s="1">
        <v>804231.0</v>
      </c>
      <c r="K441" s="1">
        <v>728948.0</v>
      </c>
      <c r="L441" s="1">
        <v>728948.0</v>
      </c>
      <c r="M441" s="1">
        <v>794.664676427841</v>
      </c>
      <c r="N441" s="1">
        <v>51315.0</v>
      </c>
      <c r="O441" s="5">
        <f t="shared" si="43"/>
        <v>0</v>
      </c>
      <c r="Q441" s="1">
        <v>643071.399888341</v>
      </c>
      <c r="S441" s="1">
        <v>116.730562448501</v>
      </c>
      <c r="U441" s="1">
        <v>105062.529740415</v>
      </c>
      <c r="V441" s="1">
        <v>11.2693717479705</v>
      </c>
      <c r="X441" s="1">
        <v>631724.780930142</v>
      </c>
      <c r="Y441" s="1">
        <v>31.5215191841125</v>
      </c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D442" s="1" t="s">
        <v>18</v>
      </c>
      <c r="E442" s="1">
        <v>90.0</v>
      </c>
      <c r="F442" s="1">
        <v>25.0</v>
      </c>
      <c r="H442" s="1">
        <v>571420.193451751</v>
      </c>
      <c r="I442" s="1">
        <v>9.82497549057006</v>
      </c>
      <c r="J442" s="1">
        <v>624662.0</v>
      </c>
      <c r="K442" s="1">
        <v>620276.0</v>
      </c>
      <c r="L442" s="1">
        <v>620276.0</v>
      </c>
      <c r="M442" s="1">
        <v>89.6323776245117</v>
      </c>
      <c r="N442" s="1">
        <v>6359.0</v>
      </c>
      <c r="O442" s="5">
        <f t="shared" si="43"/>
        <v>0</v>
      </c>
      <c r="Q442" s="1">
        <v>571715.465260279</v>
      </c>
      <c r="S442" s="1">
        <v>110.742735385894</v>
      </c>
      <c r="U442" s="1">
        <v>104316.499694027</v>
      </c>
      <c r="V442" s="1">
        <v>18.5911755561828</v>
      </c>
      <c r="X442" s="1">
        <v>565460.41198098</v>
      </c>
      <c r="Y442" s="1">
        <v>28.808670759201</v>
      </c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D443" s="1" t="s">
        <v>19</v>
      </c>
      <c r="E443" s="1">
        <v>90.0</v>
      </c>
      <c r="F443" s="1">
        <v>25.0</v>
      </c>
      <c r="H443" s="1">
        <v>637805.070628474</v>
      </c>
      <c r="I443" s="1">
        <v>9.85172080993652</v>
      </c>
      <c r="J443" s="1">
        <v>879864.0</v>
      </c>
      <c r="K443" s="1">
        <v>713477.0</v>
      </c>
      <c r="L443" s="1">
        <v>713477.0</v>
      </c>
      <c r="M443" s="1">
        <v>107.164454698562</v>
      </c>
      <c r="N443" s="1">
        <v>7219.0</v>
      </c>
      <c r="O443" s="5">
        <f t="shared" si="43"/>
        <v>0</v>
      </c>
      <c r="Q443" s="1">
        <v>638114.621343313</v>
      </c>
      <c r="S443" s="1">
        <v>145.242472171783</v>
      </c>
      <c r="U443" s="1">
        <v>105593.65208756</v>
      </c>
      <c r="V443" s="1">
        <v>32.3944416046142</v>
      </c>
      <c r="X443" s="1">
        <v>632199.361483701</v>
      </c>
      <c r="Y443" s="1">
        <v>33.7921073436737</v>
      </c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D444" s="1" t="s">
        <v>20</v>
      </c>
      <c r="E444" s="1">
        <v>90.0</v>
      </c>
      <c r="F444" s="1">
        <v>25.0</v>
      </c>
      <c r="H444" s="1">
        <v>639789.267628974</v>
      </c>
      <c r="I444" s="1">
        <v>9.7942304611206</v>
      </c>
      <c r="J444" s="1">
        <v>747266.0</v>
      </c>
      <c r="K444" s="1">
        <v>683613.0</v>
      </c>
      <c r="L444" s="1">
        <v>683613.0</v>
      </c>
      <c r="M444" s="1">
        <v>99.157695531845</v>
      </c>
      <c r="N444" s="1">
        <v>5985.0</v>
      </c>
      <c r="O444" s="5">
        <f t="shared" si="43"/>
        <v>0</v>
      </c>
      <c r="Q444" s="1">
        <v>640152.191920096</v>
      </c>
      <c r="S444" s="1">
        <v>78.7842292785644</v>
      </c>
      <c r="U444" s="1">
        <v>109121.016240344</v>
      </c>
      <c r="V444" s="1">
        <v>8.97518920898437</v>
      </c>
      <c r="X444" s="1">
        <v>624392.055883353</v>
      </c>
      <c r="Y444" s="1">
        <v>32.6197428703308</v>
      </c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D445" s="1" t="s">
        <v>21</v>
      </c>
      <c r="E445" s="1">
        <v>90.0</v>
      </c>
      <c r="F445" s="1">
        <v>25.0</v>
      </c>
      <c r="H445" s="1">
        <v>583398.605979434</v>
      </c>
      <c r="I445" s="1">
        <v>9.80726075172424</v>
      </c>
      <c r="J445" s="1">
        <v>636192.0</v>
      </c>
      <c r="K445" s="1">
        <v>633753.0</v>
      </c>
      <c r="L445" s="1">
        <v>633753.0</v>
      </c>
      <c r="M445" s="1">
        <v>202.917859315872</v>
      </c>
      <c r="N445" s="1">
        <v>14989.0</v>
      </c>
      <c r="O445" s="5">
        <f t="shared" si="43"/>
        <v>0</v>
      </c>
      <c r="Q445" s="1">
        <v>583751.296280786</v>
      </c>
      <c r="S445" s="1">
        <v>120.242877721786</v>
      </c>
      <c r="U445" s="1">
        <v>104770.957290129</v>
      </c>
      <c r="V445" s="1">
        <v>8.29485964775085</v>
      </c>
      <c r="X445" s="1">
        <v>574244.628207222</v>
      </c>
      <c r="Y445" s="1">
        <v>27.4569201469421</v>
      </c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D446" s="1" t="s">
        <v>22</v>
      </c>
      <c r="E446" s="1">
        <v>90.0</v>
      </c>
      <c r="F446" s="1">
        <v>25.0</v>
      </c>
      <c r="H446" s="1">
        <v>637556.630793637</v>
      </c>
      <c r="I446" s="1">
        <v>9.8142728805542</v>
      </c>
      <c r="J446" s="1">
        <v>799043.0</v>
      </c>
      <c r="K446" s="1">
        <v>727357.0</v>
      </c>
      <c r="L446" s="1">
        <v>727357.0</v>
      </c>
      <c r="M446" s="1">
        <v>429.565358638763</v>
      </c>
      <c r="N446" s="1">
        <v>29551.0</v>
      </c>
      <c r="O446" s="5">
        <f t="shared" si="43"/>
        <v>0</v>
      </c>
      <c r="Q446" s="1">
        <v>637772.253860784</v>
      </c>
      <c r="S446" s="1">
        <v>71.141585111618</v>
      </c>
      <c r="U446" s="1">
        <v>105901.134134446</v>
      </c>
      <c r="V446" s="1">
        <v>10.9404244422912</v>
      </c>
      <c r="X446" s="1">
        <v>632582.209645289</v>
      </c>
      <c r="Y446" s="1">
        <v>37.1480500698089</v>
      </c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D447" s="1" t="s">
        <v>23</v>
      </c>
      <c r="E447" s="1">
        <v>90.0</v>
      </c>
      <c r="F447" s="1">
        <v>25.0</v>
      </c>
      <c r="H447" s="1">
        <v>648317.716742761</v>
      </c>
      <c r="I447" s="1">
        <v>10.0656824111938</v>
      </c>
      <c r="J447" s="1">
        <v>864046.0</v>
      </c>
      <c r="K447" s="1">
        <v>719112.0</v>
      </c>
      <c r="L447" s="1">
        <v>719112.0</v>
      </c>
      <c r="M447" s="1">
        <v>76.1984462738037</v>
      </c>
      <c r="N447" s="1">
        <v>4835.0</v>
      </c>
      <c r="O447" s="5">
        <f t="shared" si="43"/>
        <v>0</v>
      </c>
      <c r="Q447" s="1">
        <v>648614.964726835</v>
      </c>
      <c r="S447" s="1">
        <v>83.7745037078857</v>
      </c>
      <c r="U447" s="1">
        <v>105020.868850961</v>
      </c>
      <c r="V447" s="1">
        <v>7.71154189109802</v>
      </c>
      <c r="X447" s="1">
        <v>637752.481243326</v>
      </c>
      <c r="Y447" s="1">
        <v>42.2425725460052</v>
      </c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D448" s="1" t="s">
        <v>24</v>
      </c>
      <c r="E448" s="1">
        <v>90.0</v>
      </c>
      <c r="F448" s="1">
        <v>25.0</v>
      </c>
      <c r="H448" s="1">
        <v>651658.809492794</v>
      </c>
      <c r="I448" s="1">
        <v>9.81407570838928</v>
      </c>
      <c r="J448" s="1">
        <v>736783.0</v>
      </c>
      <c r="K448" s="1">
        <v>703872.0</v>
      </c>
      <c r="L448" s="1">
        <v>703872.0</v>
      </c>
      <c r="M448" s="1">
        <v>188.501461029052</v>
      </c>
      <c r="N448" s="1">
        <v>12681.0</v>
      </c>
      <c r="O448" s="5">
        <f t="shared" si="43"/>
        <v>0</v>
      </c>
      <c r="Q448" s="1">
        <v>651992.076017617</v>
      </c>
      <c r="S448" s="1">
        <v>81.7821443080902</v>
      </c>
      <c r="U448" s="1">
        <v>105500.025879788</v>
      </c>
      <c r="V448" s="1">
        <v>7.99600958824157</v>
      </c>
      <c r="X448" s="1">
        <v>640549.344560047</v>
      </c>
      <c r="Y448" s="1">
        <v>34.4291815757751</v>
      </c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D449" s="1" t="s">
        <v>25</v>
      </c>
      <c r="E449" s="1">
        <v>90.0</v>
      </c>
      <c r="F449" s="1">
        <v>25.0</v>
      </c>
      <c r="H449" s="1">
        <v>644640.368518584</v>
      </c>
      <c r="I449" s="1">
        <v>9.80638122558593</v>
      </c>
      <c r="J449" s="1">
        <v>713917.0</v>
      </c>
      <c r="K449" s="1">
        <v>694581.0</v>
      </c>
      <c r="L449" s="1">
        <v>694581.0</v>
      </c>
      <c r="M449" s="1">
        <v>34.5748207569122</v>
      </c>
      <c r="N449" s="1">
        <v>1963.0</v>
      </c>
      <c r="O449" s="5">
        <f t="shared" si="43"/>
        <v>0</v>
      </c>
      <c r="Q449" s="1">
        <v>645022.006128747</v>
      </c>
      <c r="S449" s="1">
        <v>104.628321409225</v>
      </c>
      <c r="U449" s="1">
        <v>104271.422843765</v>
      </c>
      <c r="V449" s="1">
        <v>7.60168814659118</v>
      </c>
      <c r="X449" s="1">
        <v>637834.524954589</v>
      </c>
      <c r="Y449" s="1">
        <v>27.1021883487701</v>
      </c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D450" s="1" t="s">
        <v>26</v>
      </c>
      <c r="E450" s="1">
        <v>90.0</v>
      </c>
      <c r="F450" s="1">
        <v>25.0</v>
      </c>
      <c r="H450" s="1">
        <v>647341.063899406</v>
      </c>
      <c r="I450" s="1">
        <v>9.79840207099914</v>
      </c>
      <c r="J450" s="1">
        <v>796111.999999999</v>
      </c>
      <c r="K450" s="1">
        <v>696413.999999999</v>
      </c>
      <c r="L450" s="1">
        <v>696413.999999999</v>
      </c>
      <c r="M450" s="1">
        <v>61.3556449413299</v>
      </c>
      <c r="N450" s="1">
        <v>3755.0</v>
      </c>
      <c r="O450" s="5">
        <f t="shared" si="43"/>
        <v>0</v>
      </c>
      <c r="Q450" s="1">
        <v>647657.251829223</v>
      </c>
      <c r="S450" s="1">
        <v>90.9446537494659</v>
      </c>
      <c r="U450" s="1">
        <v>108003.853340279</v>
      </c>
      <c r="V450" s="1">
        <v>7.74906158447265</v>
      </c>
      <c r="X450" s="1">
        <v>637875.190519911</v>
      </c>
      <c r="Y450" s="1">
        <v>28.1295502185821</v>
      </c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D451" s="1" t="s">
        <v>27</v>
      </c>
      <c r="E451" s="1">
        <v>90.0</v>
      </c>
      <c r="F451" s="1">
        <v>25.0</v>
      </c>
      <c r="H451" s="1">
        <v>640486.829567357</v>
      </c>
      <c r="I451" s="1">
        <v>9.84074521064758</v>
      </c>
      <c r="J451" s="1">
        <v>713341.0</v>
      </c>
      <c r="K451" s="1">
        <v>705969.0</v>
      </c>
      <c r="L451" s="1">
        <v>705969.0</v>
      </c>
      <c r="M451" s="1">
        <v>895.93115568161</v>
      </c>
      <c r="N451" s="1">
        <v>56167.0</v>
      </c>
      <c r="O451" s="5">
        <f t="shared" si="43"/>
        <v>0</v>
      </c>
      <c r="Q451" s="1">
        <v>640819.408557391</v>
      </c>
      <c r="S451" s="1">
        <v>97.3373537063598</v>
      </c>
      <c r="U451" s="1">
        <v>102592.93555196</v>
      </c>
      <c r="V451" s="1">
        <v>8.08245158195495</v>
      </c>
      <c r="X451" s="1">
        <v>632702.260217719</v>
      </c>
      <c r="Y451" s="1">
        <v>28.8569161891937</v>
      </c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D452" s="1" t="s">
        <v>28</v>
      </c>
      <c r="E452" s="1">
        <v>90.0</v>
      </c>
      <c r="F452" s="1">
        <v>25.0</v>
      </c>
      <c r="H452" s="1">
        <v>619078.080767403</v>
      </c>
      <c r="I452" s="1">
        <v>9.83200287818908</v>
      </c>
      <c r="J452" s="1">
        <v>815786.0</v>
      </c>
      <c r="K452" s="1">
        <v>689359.0</v>
      </c>
      <c r="L452" s="1">
        <v>689359.0</v>
      </c>
      <c r="M452" s="1">
        <v>267.284844398498</v>
      </c>
      <c r="N452" s="1">
        <v>17125.0</v>
      </c>
      <c r="O452" s="5">
        <f t="shared" si="43"/>
        <v>0</v>
      </c>
      <c r="Q452" s="1">
        <v>619380.193708071</v>
      </c>
      <c r="S452" s="1">
        <v>69.1745238304138</v>
      </c>
      <c r="U452" s="1">
        <v>104180.518726077</v>
      </c>
      <c r="V452" s="1">
        <v>74.1736061573028</v>
      </c>
      <c r="X452" s="1">
        <v>609315.322051832</v>
      </c>
      <c r="Y452" s="1">
        <v>29.7010703086853</v>
      </c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D453" s="1" t="s">
        <v>29</v>
      </c>
      <c r="E453" s="1">
        <v>90.0</v>
      </c>
      <c r="F453" s="1">
        <v>25.0</v>
      </c>
      <c r="H453" s="1">
        <v>624700.287580487</v>
      </c>
      <c r="I453" s="1">
        <v>9.84005117416381</v>
      </c>
      <c r="J453" s="1">
        <v>707928.999999999</v>
      </c>
      <c r="K453" s="1">
        <v>695726.0</v>
      </c>
      <c r="L453" s="1">
        <v>695726.0</v>
      </c>
      <c r="M453" s="1">
        <v>309.864126443862</v>
      </c>
      <c r="N453" s="1">
        <v>21511.0</v>
      </c>
      <c r="O453" s="5">
        <f t="shared" si="43"/>
        <v>0</v>
      </c>
      <c r="Q453" s="1">
        <v>625054.136799181</v>
      </c>
      <c r="S453" s="1">
        <v>133.494322061538</v>
      </c>
      <c r="U453" s="1">
        <v>104113.027603888</v>
      </c>
      <c r="V453" s="1">
        <v>7.79482769966125</v>
      </c>
      <c r="X453" s="1">
        <v>617882.57405291</v>
      </c>
      <c r="Y453" s="1">
        <v>37.7932007312774</v>
      </c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D454" s="1" t="s">
        <v>30</v>
      </c>
      <c r="E454" s="1">
        <v>90.0</v>
      </c>
      <c r="F454" s="1">
        <v>25.0</v>
      </c>
      <c r="H454" s="1">
        <v>660966.709281161</v>
      </c>
      <c r="I454" s="1">
        <v>9.8148832321167</v>
      </c>
      <c r="J454" s="1">
        <v>907324.0</v>
      </c>
      <c r="K454" s="1">
        <v>735035.0</v>
      </c>
      <c r="L454" s="1">
        <v>735035.0</v>
      </c>
      <c r="M454" s="1">
        <v>126.235898971557</v>
      </c>
      <c r="N454" s="1">
        <v>8503.0</v>
      </c>
      <c r="O454" s="5">
        <f t="shared" si="43"/>
        <v>0</v>
      </c>
      <c r="Q454" s="1">
        <v>661327.942299429</v>
      </c>
      <c r="S454" s="1">
        <v>143.509179592132</v>
      </c>
      <c r="U454" s="1">
        <v>104239.005019976</v>
      </c>
      <c r="V454" s="1">
        <v>8.12400603294372</v>
      </c>
      <c r="X454" s="1">
        <v>652905.446855267</v>
      </c>
      <c r="Y454" s="1">
        <v>42.5995349884033</v>
      </c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D455" s="1" t="s">
        <v>31</v>
      </c>
      <c r="E455" s="1">
        <v>90.0</v>
      </c>
      <c r="F455" s="1">
        <v>25.0</v>
      </c>
      <c r="H455" s="1">
        <v>625088.504898027</v>
      </c>
      <c r="I455" s="1">
        <v>9.84821152687072</v>
      </c>
      <c r="J455" s="1">
        <v>728392.0</v>
      </c>
      <c r="K455" s="1">
        <v>688385.999999999</v>
      </c>
      <c r="L455" s="1">
        <v>688385.999999999</v>
      </c>
      <c r="M455" s="1">
        <v>31.3005678653717</v>
      </c>
      <c r="N455" s="1">
        <v>1751.0</v>
      </c>
      <c r="O455" s="5">
        <f t="shared" si="43"/>
        <v>0</v>
      </c>
      <c r="Q455" s="1">
        <v>625486.978893791</v>
      </c>
      <c r="S455" s="1">
        <v>146.765040159225</v>
      </c>
      <c r="U455" s="1">
        <v>104842.927864006</v>
      </c>
      <c r="V455" s="1">
        <v>8.04574728012085</v>
      </c>
      <c r="X455" s="1">
        <v>617721.411183528</v>
      </c>
      <c r="Y455" s="1">
        <v>35.9200265407562</v>
      </c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D456" s="1" t="s">
        <v>32</v>
      </c>
      <c r="E456" s="1">
        <v>90.0</v>
      </c>
      <c r="F456" s="1">
        <v>25.0</v>
      </c>
      <c r="H456" s="1">
        <v>637678.513000201</v>
      </c>
      <c r="I456" s="1">
        <v>9.85573053359985</v>
      </c>
      <c r="J456" s="1">
        <v>704391.999999999</v>
      </c>
      <c r="K456" s="1">
        <v>696046.0</v>
      </c>
      <c r="L456" s="1">
        <v>696046.0</v>
      </c>
      <c r="M456" s="1">
        <v>70.8519644737243</v>
      </c>
      <c r="N456" s="1">
        <v>4717.0</v>
      </c>
      <c r="O456" s="5">
        <f t="shared" si="43"/>
        <v>0</v>
      </c>
      <c r="Q456" s="1">
        <v>638000.249186067</v>
      </c>
      <c r="S456" s="1">
        <v>109.083893537521</v>
      </c>
      <c r="U456" s="1">
        <v>105490.003760426</v>
      </c>
      <c r="V456" s="1">
        <v>7.77598166465759</v>
      </c>
      <c r="X456" s="1">
        <v>630190.843400267</v>
      </c>
      <c r="Y456" s="1">
        <v>35.0739328861236</v>
      </c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D457" s="1" t="s">
        <v>33</v>
      </c>
      <c r="E457" s="1">
        <v>90.0</v>
      </c>
      <c r="F457" s="1">
        <v>25.0</v>
      </c>
      <c r="H457" s="1">
        <v>679959.967760333</v>
      </c>
      <c r="I457" s="1">
        <v>9.80147910118103</v>
      </c>
      <c r="J457" s="1">
        <v>894771.999999999</v>
      </c>
      <c r="K457" s="1">
        <v>769128.0</v>
      </c>
      <c r="L457" s="1">
        <v>769128.0</v>
      </c>
      <c r="M457" s="1">
        <v>1405.8557164669</v>
      </c>
      <c r="N457" s="1">
        <v>74705.0</v>
      </c>
      <c r="O457" s="5">
        <f t="shared" si="43"/>
        <v>0</v>
      </c>
      <c r="Q457" s="1">
        <v>680286.342562525</v>
      </c>
      <c r="S457" s="1">
        <v>73.6140878200531</v>
      </c>
      <c r="U457" s="1">
        <v>106566.677624176</v>
      </c>
      <c r="V457" s="1">
        <v>7.7813069820404</v>
      </c>
      <c r="X457" s="1">
        <v>668233.446975606</v>
      </c>
      <c r="Y457" s="1">
        <v>28.8083052635192</v>
      </c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D458" s="1" t="s">
        <v>34</v>
      </c>
      <c r="E458" s="1">
        <v>90.0</v>
      </c>
      <c r="F458" s="1">
        <v>25.0</v>
      </c>
      <c r="H458" s="1">
        <v>633771.515997334</v>
      </c>
      <c r="I458" s="1">
        <v>9.78787946701049</v>
      </c>
      <c r="J458" s="1">
        <v>772143.0</v>
      </c>
      <c r="K458" s="1">
        <v>714446.0</v>
      </c>
      <c r="L458" s="1">
        <v>714446.0</v>
      </c>
      <c r="M458" s="1">
        <v>1299.17046904563</v>
      </c>
      <c r="N458" s="1">
        <v>72217.0</v>
      </c>
      <c r="O458" s="5">
        <f t="shared" si="43"/>
        <v>0</v>
      </c>
      <c r="Q458" s="1">
        <v>634089.501407422</v>
      </c>
      <c r="S458" s="1">
        <v>53.5167212486267</v>
      </c>
      <c r="U458" s="1">
        <v>104791.003521542</v>
      </c>
      <c r="V458" s="1">
        <v>8.75944209098816</v>
      </c>
      <c r="X458" s="1">
        <v>621992.000215464</v>
      </c>
      <c r="Y458" s="1">
        <v>21.9677836894989</v>
      </c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D459" s="1" t="s">
        <v>35</v>
      </c>
      <c r="E459" s="1">
        <v>90.0</v>
      </c>
      <c r="F459" s="1">
        <v>25.0</v>
      </c>
      <c r="H459" s="1">
        <v>583258.097395574</v>
      </c>
      <c r="I459" s="1">
        <v>9.80223679542541</v>
      </c>
      <c r="J459" s="1">
        <v>635761.0</v>
      </c>
      <c r="K459" s="1">
        <v>630237.0</v>
      </c>
      <c r="L459" s="1">
        <v>630237.0</v>
      </c>
      <c r="M459" s="1">
        <v>56.0636711120605</v>
      </c>
      <c r="N459" s="1">
        <v>3629.0</v>
      </c>
      <c r="O459" s="5">
        <f t="shared" si="43"/>
        <v>0</v>
      </c>
      <c r="Q459" s="1">
        <v>583543.461544699</v>
      </c>
      <c r="S459" s="1">
        <v>126.452697515487</v>
      </c>
      <c r="U459" s="1">
        <v>102481.015286405</v>
      </c>
      <c r="V459" s="1">
        <v>8.08995270729065</v>
      </c>
      <c r="X459" s="1">
        <v>576108.888134838</v>
      </c>
      <c r="Y459" s="1">
        <v>25.6949598789215</v>
      </c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D460" s="1" t="s">
        <v>36</v>
      </c>
      <c r="E460" s="1">
        <v>90.0</v>
      </c>
      <c r="F460" s="1">
        <v>25.0</v>
      </c>
      <c r="H460" s="1">
        <v>636624.333491422</v>
      </c>
      <c r="I460" s="1">
        <v>9.75520086288452</v>
      </c>
      <c r="J460" s="1">
        <v>658353.0</v>
      </c>
      <c r="K460" s="1">
        <v>655546.999999999</v>
      </c>
      <c r="L460" s="1">
        <v>655546.999999999</v>
      </c>
      <c r="M460" s="1">
        <v>15.8178360462188</v>
      </c>
      <c r="N460" s="1">
        <v>531.0</v>
      </c>
      <c r="O460" s="5">
        <f t="shared" si="43"/>
        <v>0</v>
      </c>
      <c r="Q460" s="1">
        <v>637044.621255474</v>
      </c>
      <c r="S460" s="1">
        <v>102.29275727272</v>
      </c>
      <c r="U460" s="1">
        <v>106250.884692615</v>
      </c>
      <c r="V460" s="1">
        <v>9.32209324836731</v>
      </c>
      <c r="X460" s="1">
        <v>629739.649530607</v>
      </c>
      <c r="Y460" s="1">
        <v>38.2368378639221</v>
      </c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D461" s="1" t="s">
        <v>37</v>
      </c>
      <c r="E461" s="1">
        <v>90.0</v>
      </c>
      <c r="F461" s="1">
        <v>25.0</v>
      </c>
      <c r="H461" s="1">
        <v>639931.536019218</v>
      </c>
      <c r="I461" s="1">
        <v>9.85917568206787</v>
      </c>
      <c r="J461" s="1">
        <v>685524.0</v>
      </c>
      <c r="K461" s="1">
        <v>668348.999999999</v>
      </c>
      <c r="L461" s="1">
        <v>668348.999999999</v>
      </c>
      <c r="M461" s="1">
        <v>27.1133425235748</v>
      </c>
      <c r="N461" s="1">
        <v>1257.0</v>
      </c>
      <c r="O461" s="5">
        <f t="shared" si="43"/>
        <v>0</v>
      </c>
      <c r="Q461" s="1">
        <v>640256.339530358</v>
      </c>
      <c r="S461" s="1">
        <v>82.4960460662841</v>
      </c>
      <c r="U461" s="1">
        <v>106414.657422121</v>
      </c>
      <c r="V461" s="1">
        <v>8.74731087684631</v>
      </c>
      <c r="X461" s="1">
        <v>626611.511904484</v>
      </c>
      <c r="Y461" s="1">
        <v>53.0078303813934</v>
      </c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D462" s="1" t="s">
        <v>38</v>
      </c>
      <c r="E462" s="1">
        <v>90.0</v>
      </c>
      <c r="F462" s="1">
        <v>25.0</v>
      </c>
      <c r="H462" s="1">
        <v>608697.352864655</v>
      </c>
      <c r="I462" s="1">
        <v>9.79893469810485</v>
      </c>
      <c r="J462" s="1">
        <v>698843.0</v>
      </c>
      <c r="K462" s="1">
        <v>662025.0</v>
      </c>
      <c r="L462" s="1">
        <v>662025.0</v>
      </c>
      <c r="M462" s="1">
        <v>144.576031208038</v>
      </c>
      <c r="N462" s="1">
        <v>9429.0</v>
      </c>
      <c r="O462" s="5">
        <f t="shared" si="43"/>
        <v>0</v>
      </c>
      <c r="Q462" s="1">
        <v>608998.825460317</v>
      </c>
      <c r="S462" s="1">
        <v>115.204502105712</v>
      </c>
      <c r="U462" s="1">
        <v>105026.996830657</v>
      </c>
      <c r="V462" s="1">
        <v>9.97874402999878</v>
      </c>
      <c r="X462" s="1">
        <v>596599.32609027</v>
      </c>
      <c r="Y462" s="1">
        <v>29.4005095958709</v>
      </c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D463" s="1" t="s">
        <v>39</v>
      </c>
      <c r="E463" s="1">
        <v>90.0</v>
      </c>
      <c r="F463" s="1">
        <v>25.0</v>
      </c>
      <c r="H463" s="1">
        <v>594955.014346173</v>
      </c>
      <c r="I463" s="1">
        <v>9.82232928276062</v>
      </c>
      <c r="J463" s="1">
        <v>655583.0</v>
      </c>
      <c r="K463" s="1">
        <v>653300.0</v>
      </c>
      <c r="L463" s="1">
        <v>653300.0</v>
      </c>
      <c r="M463" s="1">
        <v>325.514596462249</v>
      </c>
      <c r="N463" s="1">
        <v>23203.0</v>
      </c>
      <c r="O463" s="5">
        <f t="shared" si="43"/>
        <v>0</v>
      </c>
      <c r="Q463" s="1">
        <v>595319.183416645</v>
      </c>
      <c r="S463" s="1">
        <v>144.102331638336</v>
      </c>
      <c r="U463" s="1">
        <v>101639.05989779</v>
      </c>
      <c r="V463" s="1">
        <v>7.95320606231689</v>
      </c>
      <c r="X463" s="1">
        <v>584243.411066975</v>
      </c>
      <c r="Y463" s="1">
        <v>26.1929306983947</v>
      </c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D464" s="1" t="s">
        <v>40</v>
      </c>
      <c r="E464" s="1">
        <v>90.0</v>
      </c>
      <c r="F464" s="1">
        <v>25.0</v>
      </c>
      <c r="H464" s="1">
        <v>650455.072519341</v>
      </c>
      <c r="I464" s="1">
        <v>9.76456928253173</v>
      </c>
      <c r="J464" s="1">
        <v>798927.0</v>
      </c>
      <c r="K464" s="1">
        <v>702489.0</v>
      </c>
      <c r="L464" s="1">
        <v>702489.0</v>
      </c>
      <c r="M464" s="1">
        <v>88.4461846351623</v>
      </c>
      <c r="N464" s="1">
        <v>5441.0</v>
      </c>
      <c r="O464" s="5">
        <f t="shared" si="43"/>
        <v>0</v>
      </c>
      <c r="Q464" s="1">
        <v>650770.20844509</v>
      </c>
      <c r="S464" s="1">
        <v>70.4569473266601</v>
      </c>
      <c r="U464" s="1">
        <v>105635.334740154</v>
      </c>
      <c r="V464" s="1">
        <v>22.8910896778106</v>
      </c>
      <c r="X464" s="1">
        <v>640785.334915843</v>
      </c>
      <c r="Y464" s="1">
        <v>23.8251376152038</v>
      </c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D465" s="1" t="s">
        <v>41</v>
      </c>
      <c r="E465" s="1">
        <v>90.0</v>
      </c>
      <c r="F465" s="1">
        <v>25.0</v>
      </c>
      <c r="H465" s="1">
        <v>650051.582437947</v>
      </c>
      <c r="I465" s="1">
        <v>9.85599064826965</v>
      </c>
      <c r="J465" s="1">
        <v>730825.0</v>
      </c>
      <c r="K465" s="1">
        <v>686146.999999999</v>
      </c>
      <c r="L465" s="1">
        <v>686146.999999999</v>
      </c>
      <c r="M465" s="1">
        <v>21.7919886112213</v>
      </c>
      <c r="N465" s="1">
        <v>855.0</v>
      </c>
      <c r="O465" s="5">
        <f t="shared" si="43"/>
        <v>0</v>
      </c>
      <c r="Q465" s="1">
        <v>650389.260585552</v>
      </c>
      <c r="S465" s="1">
        <v>67.4443488121032</v>
      </c>
      <c r="U465" s="1">
        <v>103948.20744413</v>
      </c>
      <c r="V465" s="1">
        <v>8.19577860832214</v>
      </c>
      <c r="X465" s="1">
        <v>636310.966333079</v>
      </c>
      <c r="Y465" s="1">
        <v>35.2788231372833</v>
      </c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D466" s="1" t="s">
        <v>42</v>
      </c>
      <c r="E466" s="1">
        <v>90.0</v>
      </c>
      <c r="F466" s="1">
        <v>25.0</v>
      </c>
      <c r="H466" s="1">
        <v>624490.483186291</v>
      </c>
      <c r="I466" s="1">
        <v>9.83172941207885</v>
      </c>
      <c r="J466" s="1">
        <v>712869.0</v>
      </c>
      <c r="K466" s="1">
        <v>676089.999999999</v>
      </c>
      <c r="L466" s="1">
        <v>676089.999999999</v>
      </c>
      <c r="M466" s="1">
        <v>190.212386369705</v>
      </c>
      <c r="N466" s="1">
        <v>11887.0</v>
      </c>
      <c r="O466" s="5">
        <f t="shared" si="43"/>
        <v>0</v>
      </c>
      <c r="Q466" s="1">
        <v>624825.521136608</v>
      </c>
      <c r="S466" s="1">
        <v>68.3521449565887</v>
      </c>
      <c r="U466" s="1">
        <v>105113.182685862</v>
      </c>
      <c r="V466" s="1">
        <v>9.0695514678955</v>
      </c>
      <c r="X466" s="1">
        <v>609563.956601123</v>
      </c>
      <c r="Y466" s="1">
        <v>19.4485020637512</v>
      </c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D467" s="1" t="s">
        <v>43</v>
      </c>
      <c r="E467" s="1">
        <v>90.0</v>
      </c>
      <c r="F467" s="1">
        <v>25.0</v>
      </c>
      <c r="H467" s="1">
        <v>623797.461383545</v>
      </c>
      <c r="I467" s="1">
        <v>9.84824752807617</v>
      </c>
      <c r="J467" s="1">
        <v>688236.0</v>
      </c>
      <c r="K467" s="1">
        <v>688235.999999999</v>
      </c>
      <c r="L467" s="1">
        <v>688235.999999999</v>
      </c>
      <c r="M467" s="1">
        <v>71.7032487392425</v>
      </c>
      <c r="N467" s="1">
        <v>4979.0</v>
      </c>
      <c r="O467" s="5">
        <f t="shared" si="43"/>
        <v>0</v>
      </c>
      <c r="Q467" s="1">
        <v>624108.223429299</v>
      </c>
      <c r="S467" s="1">
        <v>150.16357755661</v>
      </c>
      <c r="U467" s="1">
        <v>106067.407495727</v>
      </c>
      <c r="V467" s="1">
        <v>8.06702804565429</v>
      </c>
      <c r="X467" s="1">
        <v>618804.21702237</v>
      </c>
      <c r="Y467" s="1">
        <v>41.1218428611755</v>
      </c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D468" s="1" t="s">
        <v>44</v>
      </c>
      <c r="E468" s="1">
        <v>90.0</v>
      </c>
      <c r="F468" s="1">
        <v>25.0</v>
      </c>
      <c r="H468" s="1">
        <v>599902.007936308</v>
      </c>
      <c r="I468" s="1">
        <v>9.82312750816345</v>
      </c>
      <c r="J468" s="1">
        <v>673763.0</v>
      </c>
      <c r="K468" s="1">
        <v>652124.999999999</v>
      </c>
      <c r="L468" s="1">
        <v>652124.999999999</v>
      </c>
      <c r="M468" s="1">
        <v>84.3726379871368</v>
      </c>
      <c r="N468" s="1">
        <v>5637.0</v>
      </c>
      <c r="O468" s="5">
        <f t="shared" si="43"/>
        <v>0</v>
      </c>
      <c r="Q468" s="1">
        <v>600175.55548177</v>
      </c>
      <c r="S468" s="1">
        <v>88.4053497314453</v>
      </c>
      <c r="U468" s="1">
        <v>106192.050242915</v>
      </c>
      <c r="V468" s="1">
        <v>12.3511657714843</v>
      </c>
      <c r="X468" s="1">
        <v>592841.8082884</v>
      </c>
      <c r="Y468" s="1">
        <v>41.8090345859527</v>
      </c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D469" s="1" t="s">
        <v>45</v>
      </c>
      <c r="E469" s="1">
        <v>90.0</v>
      </c>
      <c r="F469" s="1">
        <v>25.0</v>
      </c>
      <c r="H469" s="1">
        <v>608136.601061124</v>
      </c>
      <c r="I469" s="1">
        <v>9.80537939071655</v>
      </c>
      <c r="J469" s="1">
        <v>770238.0</v>
      </c>
      <c r="K469" s="1">
        <v>669976.999999999</v>
      </c>
      <c r="L469" s="1">
        <v>669976.999999999</v>
      </c>
      <c r="M469" s="1">
        <v>76.5641241073608</v>
      </c>
      <c r="N469" s="1">
        <v>5359.0</v>
      </c>
      <c r="O469" s="5">
        <f t="shared" si="43"/>
        <v>0</v>
      </c>
      <c r="Q469" s="1">
        <v>608425.953038139</v>
      </c>
      <c r="S469" s="1">
        <v>109.677467346191</v>
      </c>
      <c r="U469" s="1">
        <v>107916.998458548</v>
      </c>
      <c r="V469" s="1">
        <v>9.27847552299499</v>
      </c>
      <c r="X469" s="1">
        <v>601912.764316948</v>
      </c>
      <c r="Y469" s="1">
        <v>25.1373374462127</v>
      </c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D470" s="1"/>
      <c r="E470" s="6">
        <f t="shared" ref="E470:F470" si="44">AVERAGE(E440:E469)</f>
        <v>90</v>
      </c>
      <c r="F470" s="6">
        <f t="shared" si="44"/>
        <v>25</v>
      </c>
      <c r="H470" s="6">
        <f t="shared" ref="H470:O470" si="45">AVERAGE(H440:H469)</f>
        <v>627826.9424</v>
      </c>
      <c r="I470" s="6">
        <f t="shared" si="45"/>
        <v>9.827147317</v>
      </c>
      <c r="J470" s="6">
        <f t="shared" si="45"/>
        <v>740560</v>
      </c>
      <c r="K470" s="6">
        <f t="shared" si="45"/>
        <v>687080.2667</v>
      </c>
      <c r="L470" s="6">
        <f t="shared" si="45"/>
        <v>687080.2667</v>
      </c>
      <c r="M470" s="6">
        <f t="shared" si="45"/>
        <v>320.1827521</v>
      </c>
      <c r="N470" s="6">
        <f t="shared" si="45"/>
        <v>18933.8</v>
      </c>
      <c r="O470" s="6">
        <f t="shared" si="45"/>
        <v>0</v>
      </c>
      <c r="Q470" s="6">
        <f>AVERAGE(Q440:Q469)</f>
        <v>628151.4218</v>
      </c>
      <c r="S470" s="6">
        <f>AVERAGE(S440:S469)</f>
        <v>103.3265989</v>
      </c>
    </row>
    <row r="471">
      <c r="D471" s="1" t="s">
        <v>16</v>
      </c>
      <c r="E471" s="1">
        <v>90.0</v>
      </c>
      <c r="F471" s="1">
        <v>30.0</v>
      </c>
      <c r="H471" s="1">
        <v>876891.209918294</v>
      </c>
      <c r="I471" s="1">
        <v>10.0179710388183</v>
      </c>
      <c r="J471" s="1">
        <v>929194.0</v>
      </c>
      <c r="K471" s="1">
        <v>928398.0</v>
      </c>
      <c r="L471" s="1">
        <v>928398.0</v>
      </c>
      <c r="M471" s="1">
        <v>104.638024568557</v>
      </c>
      <c r="N471" s="1">
        <v>7779.0</v>
      </c>
      <c r="O471" s="5">
        <f t="shared" ref="O471:O500" si="46">100*(K471-L471)/K471</f>
        <v>0</v>
      </c>
      <c r="Q471" s="1">
        <v>877184.671555479</v>
      </c>
      <c r="S471" s="1">
        <v>136.900520324707</v>
      </c>
      <c r="U471" s="1">
        <v>114029.00542932</v>
      </c>
      <c r="V471" s="1">
        <v>7.71859669685363</v>
      </c>
      <c r="X471" s="1">
        <v>870077.183863327</v>
      </c>
      <c r="Y471" s="1">
        <v>21.1102695465087</v>
      </c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D472" s="1" t="s">
        <v>17</v>
      </c>
      <c r="E472" s="1">
        <v>90.0</v>
      </c>
      <c r="F472" s="1">
        <v>30.0</v>
      </c>
      <c r="H472" s="1">
        <v>981353.794094434</v>
      </c>
      <c r="I472" s="1">
        <v>9.95397663116455</v>
      </c>
      <c r="J472" s="1">
        <v>1178572.0</v>
      </c>
      <c r="K472" s="1">
        <v>1065622.99999999</v>
      </c>
      <c r="L472" s="1">
        <v>1065622.99999999</v>
      </c>
      <c r="M472" s="1">
        <v>294.262114763259</v>
      </c>
      <c r="N472" s="1">
        <v>21433.0</v>
      </c>
      <c r="O472" s="5">
        <f t="shared" si="46"/>
        <v>0</v>
      </c>
      <c r="Q472" s="1">
        <v>981685.756123921</v>
      </c>
      <c r="S472" s="1">
        <v>85.6814198493957</v>
      </c>
      <c r="U472" s="1">
        <v>115610.017971993</v>
      </c>
      <c r="V472" s="1">
        <v>9.80851578712463</v>
      </c>
      <c r="X472" s="1">
        <v>964810.743184096</v>
      </c>
      <c r="Y472" s="1">
        <v>26.9673242568969</v>
      </c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D473" s="1" t="s">
        <v>18</v>
      </c>
      <c r="E473" s="1">
        <v>90.0</v>
      </c>
      <c r="F473" s="1">
        <v>30.0</v>
      </c>
      <c r="H473" s="1">
        <v>856839.842721572</v>
      </c>
      <c r="I473" s="1">
        <v>9.97636032104492</v>
      </c>
      <c r="J473" s="1">
        <v>882496.999999999</v>
      </c>
      <c r="K473" s="1">
        <v>882496.999999999</v>
      </c>
      <c r="L473" s="1">
        <v>882496.999999999</v>
      </c>
      <c r="M473" s="1">
        <v>17.9587838649749</v>
      </c>
      <c r="N473" s="1">
        <v>683.0</v>
      </c>
      <c r="O473" s="5">
        <f t="shared" si="46"/>
        <v>0</v>
      </c>
      <c r="Q473" s="1">
        <v>857299.670705732</v>
      </c>
      <c r="S473" s="1">
        <v>150.045826673507</v>
      </c>
      <c r="U473" s="1">
        <v>113868.997633074</v>
      </c>
      <c r="V473" s="1">
        <v>10.2683420181274</v>
      </c>
      <c r="X473" s="1">
        <v>847943.044049429</v>
      </c>
      <c r="Y473" s="1">
        <v>20.4017376899719</v>
      </c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D474" s="1" t="s">
        <v>19</v>
      </c>
      <c r="E474" s="1">
        <v>90.0</v>
      </c>
      <c r="F474" s="1">
        <v>30.0</v>
      </c>
      <c r="H474" s="1">
        <v>983060.134830405</v>
      </c>
      <c r="I474" s="1">
        <v>9.98071360588073</v>
      </c>
      <c r="J474" s="1">
        <v>1219794.0</v>
      </c>
      <c r="K474" s="1">
        <v>1046837.0</v>
      </c>
      <c r="L474" s="1">
        <v>1046837.0</v>
      </c>
      <c r="M474" s="1">
        <v>52.7105662822723</v>
      </c>
      <c r="N474" s="1">
        <v>3063.0</v>
      </c>
      <c r="O474" s="5">
        <f t="shared" si="46"/>
        <v>0</v>
      </c>
      <c r="Q474" s="1">
        <v>983475.201050888</v>
      </c>
      <c r="S474" s="1">
        <v>126.301775455474</v>
      </c>
      <c r="U474" s="1">
        <v>115948.349895508</v>
      </c>
      <c r="V474" s="1">
        <v>13.1218283176422</v>
      </c>
      <c r="X474" s="1">
        <v>962570.699430318</v>
      </c>
      <c r="Y474" s="1">
        <v>24.6807625293731</v>
      </c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D475" s="1" t="s">
        <v>20</v>
      </c>
      <c r="E475" s="1">
        <v>90.0</v>
      </c>
      <c r="F475" s="1">
        <v>30.0</v>
      </c>
      <c r="H475" s="1">
        <v>953633.63301061</v>
      </c>
      <c r="I475" s="1">
        <v>9.95473003387451</v>
      </c>
      <c r="J475" s="1">
        <v>1031780.0</v>
      </c>
      <c r="K475" s="1">
        <v>994057.0</v>
      </c>
      <c r="L475" s="1">
        <v>994057.0</v>
      </c>
      <c r="M475" s="1">
        <v>60.5688867568969</v>
      </c>
      <c r="N475" s="1">
        <v>3553.0</v>
      </c>
      <c r="O475" s="5">
        <f t="shared" si="46"/>
        <v>0</v>
      </c>
      <c r="Q475" s="1">
        <v>953995.816890865</v>
      </c>
      <c r="S475" s="1">
        <v>63.5514340400695</v>
      </c>
      <c r="U475" s="1">
        <v>118843.774397432</v>
      </c>
      <c r="V475" s="1">
        <v>12.3212292194366</v>
      </c>
      <c r="X475" s="1">
        <v>929703.041302088</v>
      </c>
      <c r="Y475" s="1">
        <v>26.4619691371917</v>
      </c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D476" s="1" t="s">
        <v>21</v>
      </c>
      <c r="E476" s="1">
        <v>90.0</v>
      </c>
      <c r="F476" s="1">
        <v>30.0</v>
      </c>
      <c r="H476" s="1">
        <v>862686.681901136</v>
      </c>
      <c r="I476" s="1">
        <v>9.9437358379364</v>
      </c>
      <c r="J476" s="1">
        <v>885329.0</v>
      </c>
      <c r="K476" s="1">
        <v>885328.999999999</v>
      </c>
      <c r="L476" s="1">
        <v>885328.999999999</v>
      </c>
      <c r="M476" s="1">
        <v>15.0158987045288</v>
      </c>
      <c r="N476" s="1">
        <v>443.0</v>
      </c>
      <c r="O476" s="5">
        <f t="shared" si="46"/>
        <v>0</v>
      </c>
      <c r="Q476" s="1">
        <v>863164.662239445</v>
      </c>
      <c r="S476" s="1">
        <v>132.794824123382</v>
      </c>
      <c r="U476" s="1">
        <v>115075.930761259</v>
      </c>
      <c r="V476" s="1">
        <v>8.2041962146759</v>
      </c>
      <c r="X476" s="1">
        <v>854641.432733731</v>
      </c>
      <c r="Y476" s="1">
        <v>24.6802332401275</v>
      </c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D477" s="1" t="s">
        <v>22</v>
      </c>
      <c r="E477" s="1">
        <v>90.0</v>
      </c>
      <c r="F477" s="1">
        <v>30.0</v>
      </c>
      <c r="H477" s="1">
        <v>980974.300642451</v>
      </c>
      <c r="I477" s="1">
        <v>9.9605815410614</v>
      </c>
      <c r="J477" s="1">
        <v>1245594.99999999</v>
      </c>
      <c r="K477" s="1">
        <v>1046979.99999999</v>
      </c>
      <c r="L477" s="1">
        <v>1046979.99999999</v>
      </c>
      <c r="M477" s="1">
        <v>54.5914916992187</v>
      </c>
      <c r="N477" s="1">
        <v>3511.0</v>
      </c>
      <c r="O477" s="5">
        <f t="shared" si="46"/>
        <v>0</v>
      </c>
      <c r="Q477" s="1">
        <v>981294.871785902</v>
      </c>
      <c r="S477" s="1">
        <v>146.991566896438</v>
      </c>
      <c r="U477" s="1">
        <v>115893.626386382</v>
      </c>
      <c r="V477" s="1">
        <v>10.1731400489807</v>
      </c>
      <c r="X477" s="1">
        <v>967015.822900334</v>
      </c>
      <c r="Y477" s="1">
        <v>21.485496520996</v>
      </c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D478" s="1" t="s">
        <v>23</v>
      </c>
      <c r="E478" s="1">
        <v>90.0</v>
      </c>
      <c r="F478" s="1">
        <v>30.0</v>
      </c>
      <c r="H478" s="1">
        <v>992966.588038859</v>
      </c>
      <c r="I478" s="1">
        <v>9.9853184223175</v>
      </c>
      <c r="J478" s="1">
        <v>1205478.0</v>
      </c>
      <c r="K478" s="1">
        <v>1053864.0</v>
      </c>
      <c r="L478" s="1">
        <v>1053864.0</v>
      </c>
      <c r="M478" s="1">
        <v>30.3968186378479</v>
      </c>
      <c r="N478" s="1">
        <v>1589.0</v>
      </c>
      <c r="O478" s="5">
        <f t="shared" si="46"/>
        <v>0</v>
      </c>
      <c r="Q478" s="1">
        <v>993347.200844103</v>
      </c>
      <c r="S478" s="1">
        <v>96.8279061317443</v>
      </c>
      <c r="U478" s="1">
        <v>114430.088203636</v>
      </c>
      <c r="V478" s="1">
        <v>8.13989734649658</v>
      </c>
      <c r="X478" s="1">
        <v>971354.865224908</v>
      </c>
      <c r="Y478" s="1">
        <v>21.1432049274444</v>
      </c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D479" s="1" t="s">
        <v>24</v>
      </c>
      <c r="E479" s="1">
        <v>90.0</v>
      </c>
      <c r="F479" s="1">
        <v>30.0</v>
      </c>
      <c r="H479" s="1">
        <v>968938.881133797</v>
      </c>
      <c r="I479" s="1">
        <v>9.97622561454773</v>
      </c>
      <c r="J479" s="1">
        <v>998070.0</v>
      </c>
      <c r="K479" s="1">
        <v>997247.999999999</v>
      </c>
      <c r="L479" s="1">
        <v>997247.999999999</v>
      </c>
      <c r="M479" s="1">
        <v>23.0259366035461</v>
      </c>
      <c r="N479" s="1">
        <v>1031.0</v>
      </c>
      <c r="O479" s="5">
        <f t="shared" si="46"/>
        <v>0</v>
      </c>
      <c r="Q479" s="1">
        <v>969314.162220098</v>
      </c>
      <c r="S479" s="1">
        <v>69.1119697093963</v>
      </c>
      <c r="U479" s="1">
        <v>115920.05110384</v>
      </c>
      <c r="V479" s="1">
        <v>25.3992953300476</v>
      </c>
      <c r="X479" s="1">
        <v>951522.686374723</v>
      </c>
      <c r="Y479" s="1">
        <v>22.372284412384</v>
      </c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D480" s="1" t="s">
        <v>25</v>
      </c>
      <c r="E480" s="1">
        <v>90.0</v>
      </c>
      <c r="F480" s="1">
        <v>30.0</v>
      </c>
      <c r="H480" s="1">
        <v>979094.556040398</v>
      </c>
      <c r="I480" s="1">
        <v>10.0119936466217</v>
      </c>
      <c r="J480" s="1">
        <v>1012135.0</v>
      </c>
      <c r="K480" s="1">
        <v>1009755.99999999</v>
      </c>
      <c r="L480" s="1">
        <v>1009755.99999999</v>
      </c>
      <c r="M480" s="1">
        <v>15.0223228931427</v>
      </c>
      <c r="N480" s="1">
        <v>425.0</v>
      </c>
      <c r="O480" s="5">
        <f t="shared" si="46"/>
        <v>0</v>
      </c>
      <c r="Q480" s="1">
        <v>979582.915177818</v>
      </c>
      <c r="S480" s="1">
        <v>118.926623106002</v>
      </c>
      <c r="U480" s="1">
        <v>114197.101503007</v>
      </c>
      <c r="V480" s="1">
        <v>8.46711778640747</v>
      </c>
      <c r="X480" s="1">
        <v>965040.121302953</v>
      </c>
      <c r="Y480" s="1">
        <v>26.9940383434295</v>
      </c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D481" s="1" t="s">
        <v>26</v>
      </c>
      <c r="E481" s="1">
        <v>90.0</v>
      </c>
      <c r="F481" s="1">
        <v>30.0</v>
      </c>
      <c r="H481" s="1">
        <v>972385.138022927</v>
      </c>
      <c r="I481" s="1">
        <v>9.9675006866455</v>
      </c>
      <c r="J481" s="1">
        <v>1080952.99999999</v>
      </c>
      <c r="K481" s="1">
        <v>1013389.0</v>
      </c>
      <c r="L481" s="1">
        <v>1013389.0</v>
      </c>
      <c r="M481" s="1">
        <v>28.626412153244</v>
      </c>
      <c r="N481" s="1">
        <v>1389.0</v>
      </c>
      <c r="O481" s="5">
        <f t="shared" si="46"/>
        <v>0</v>
      </c>
      <c r="Q481" s="1">
        <v>972757.923476557</v>
      </c>
      <c r="S481" s="1">
        <v>98.9750018119812</v>
      </c>
      <c r="U481" s="1">
        <v>117995.316457794</v>
      </c>
      <c r="V481" s="1">
        <v>13.6783874034881</v>
      </c>
      <c r="X481" s="1">
        <v>951305.095261638</v>
      </c>
      <c r="Y481" s="1">
        <v>22.7700021266937</v>
      </c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D482" s="1" t="s">
        <v>27</v>
      </c>
      <c r="E482" s="1">
        <v>90.0</v>
      </c>
      <c r="F482" s="1">
        <v>30.0</v>
      </c>
      <c r="H482" s="1">
        <v>954205.785608875</v>
      </c>
      <c r="I482" s="1">
        <v>9.99517965316772</v>
      </c>
      <c r="J482" s="1">
        <v>996867.0</v>
      </c>
      <c r="K482" s="1">
        <v>996866.999999999</v>
      </c>
      <c r="L482" s="1">
        <v>996866.999999999</v>
      </c>
      <c r="M482" s="1">
        <v>31.5633261203765</v>
      </c>
      <c r="N482" s="1">
        <v>1803.0</v>
      </c>
      <c r="O482" s="5">
        <f t="shared" si="46"/>
        <v>0</v>
      </c>
      <c r="Q482" s="1">
        <v>954641.341446031</v>
      </c>
      <c r="S482" s="1">
        <v>140.629850149154</v>
      </c>
      <c r="U482" s="1">
        <v>112563.693468682</v>
      </c>
      <c r="V482" s="1">
        <v>8.23606038093566</v>
      </c>
      <c r="X482" s="1">
        <v>944706.320394542</v>
      </c>
      <c r="Y482" s="1">
        <v>19.5335826873779</v>
      </c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D483" s="1" t="s">
        <v>28</v>
      </c>
      <c r="E483" s="1">
        <v>90.0</v>
      </c>
      <c r="F483" s="1">
        <v>30.0</v>
      </c>
      <c r="H483" s="1">
        <v>937744.46975348</v>
      </c>
      <c r="I483" s="1">
        <v>9.94910240173339</v>
      </c>
      <c r="J483" s="1">
        <v>1129661.0</v>
      </c>
      <c r="K483" s="1">
        <v>1004150.99999999</v>
      </c>
      <c r="L483" s="1">
        <v>1004150.99999999</v>
      </c>
      <c r="M483" s="1">
        <v>94.0384459495544</v>
      </c>
      <c r="N483" s="1">
        <v>5907.0</v>
      </c>
      <c r="O483" s="5">
        <f t="shared" si="46"/>
        <v>0</v>
      </c>
      <c r="Q483" s="1">
        <v>938119.988627149</v>
      </c>
      <c r="S483" s="1">
        <v>106.194717407226</v>
      </c>
      <c r="U483" s="1">
        <v>113882.550341362</v>
      </c>
      <c r="V483" s="1">
        <v>8.1236879825592</v>
      </c>
      <c r="X483" s="1">
        <v>919535.124493778</v>
      </c>
      <c r="Y483" s="1">
        <v>21.0113134384155</v>
      </c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D484" s="1" t="s">
        <v>29</v>
      </c>
      <c r="E484" s="1">
        <v>90.0</v>
      </c>
      <c r="F484" s="1">
        <v>30.0</v>
      </c>
      <c r="H484" s="1">
        <v>940488.752573594</v>
      </c>
      <c r="I484" s="1">
        <v>9.96582627296447</v>
      </c>
      <c r="J484" s="1">
        <v>997243.999999999</v>
      </c>
      <c r="K484" s="1">
        <v>995404.999999999</v>
      </c>
      <c r="L484" s="1">
        <v>995404.999999999</v>
      </c>
      <c r="M484" s="1">
        <v>52.390769958496</v>
      </c>
      <c r="N484" s="1">
        <v>3495.0</v>
      </c>
      <c r="O484" s="5">
        <f t="shared" si="46"/>
        <v>0</v>
      </c>
      <c r="Q484" s="1">
        <v>940951.114373679</v>
      </c>
      <c r="S484" s="1">
        <v>125.592089176177</v>
      </c>
      <c r="U484" s="1">
        <v>113563.019397156</v>
      </c>
      <c r="V484" s="1">
        <v>8.82043719291687</v>
      </c>
      <c r="X484" s="1">
        <v>930311.666296546</v>
      </c>
      <c r="Y484" s="1">
        <v>22.956866979599</v>
      </c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D485" s="1" t="s">
        <v>30</v>
      </c>
      <c r="E485" s="1">
        <v>90.0</v>
      </c>
      <c r="F485" s="1">
        <v>30.0</v>
      </c>
      <c r="H485" s="1">
        <v>1011325.86074581</v>
      </c>
      <c r="I485" s="1">
        <v>9.97958636283874</v>
      </c>
      <c r="J485" s="1">
        <v>1261526.0</v>
      </c>
      <c r="K485" s="1">
        <v>1070475.99999999</v>
      </c>
      <c r="L485" s="1">
        <v>1070475.99999999</v>
      </c>
      <c r="M485" s="1">
        <v>51.2242803573608</v>
      </c>
      <c r="N485" s="1">
        <v>3077.0</v>
      </c>
      <c r="O485" s="5">
        <f t="shared" si="46"/>
        <v>0</v>
      </c>
      <c r="Q485" s="1">
        <v>1011716.73926859</v>
      </c>
      <c r="S485" s="1">
        <v>105.93876171112</v>
      </c>
      <c r="U485" s="1">
        <v>114608.015292895</v>
      </c>
      <c r="V485" s="1">
        <v>7.54647827148437</v>
      </c>
      <c r="X485" s="1">
        <v>994594.72287361</v>
      </c>
      <c r="Y485" s="1">
        <v>37.5152986049652</v>
      </c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D486" s="1" t="s">
        <v>31</v>
      </c>
      <c r="E486" s="1">
        <v>90.0</v>
      </c>
      <c r="F486" s="1">
        <v>30.0</v>
      </c>
      <c r="H486" s="1">
        <v>968495.013169649</v>
      </c>
      <c r="I486" s="1">
        <v>9.98755168914795</v>
      </c>
      <c r="J486" s="1">
        <v>1247895.0</v>
      </c>
      <c r="K486" s="1">
        <v>1032450.0</v>
      </c>
      <c r="L486" s="1">
        <v>1032450.0</v>
      </c>
      <c r="M486" s="1">
        <v>30.5287961959838</v>
      </c>
      <c r="N486" s="1">
        <v>1633.0</v>
      </c>
      <c r="O486" s="5">
        <f t="shared" si="46"/>
        <v>0</v>
      </c>
      <c r="Q486" s="1">
        <v>968964.361437388</v>
      </c>
      <c r="S486" s="1">
        <v>147.19640469551</v>
      </c>
      <c r="U486" s="1">
        <v>114773.003335672</v>
      </c>
      <c r="V486" s="1">
        <v>8.12935447692871</v>
      </c>
      <c r="X486" s="1">
        <v>954836.334507412</v>
      </c>
      <c r="Y486" s="1">
        <v>21.7984166145324</v>
      </c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D487" s="1" t="s">
        <v>32</v>
      </c>
      <c r="E487" s="1">
        <v>90.0</v>
      </c>
      <c r="F487" s="1">
        <v>30.0</v>
      </c>
      <c r="H487" s="1">
        <v>968381.013923558</v>
      </c>
      <c r="I487" s="1">
        <v>10.0021352767944</v>
      </c>
      <c r="J487" s="1">
        <v>1020445.0</v>
      </c>
      <c r="K487" s="1">
        <v>1010959.0</v>
      </c>
      <c r="L487" s="1">
        <v>1010959.0</v>
      </c>
      <c r="M487" s="1">
        <v>29.4355843067169</v>
      </c>
      <c r="N487" s="1">
        <v>1537.0</v>
      </c>
      <c r="O487" s="5">
        <f t="shared" si="46"/>
        <v>0</v>
      </c>
      <c r="Q487" s="1">
        <v>968765.954242963</v>
      </c>
      <c r="S487" s="1">
        <v>71.7152385711669</v>
      </c>
      <c r="U487" s="1">
        <v>115588.986542163</v>
      </c>
      <c r="V487" s="1">
        <v>7.67014837265014</v>
      </c>
      <c r="X487" s="1">
        <v>948953.354705148</v>
      </c>
      <c r="Y487" s="1">
        <v>22.9933524131774</v>
      </c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D488" s="1" t="s">
        <v>33</v>
      </c>
      <c r="E488" s="1">
        <v>90.0</v>
      </c>
      <c r="F488" s="1">
        <v>30.0</v>
      </c>
      <c r="H488" s="1">
        <v>1030206.54520828</v>
      </c>
      <c r="I488" s="1">
        <v>9.94697999954223</v>
      </c>
      <c r="J488" s="1">
        <v>1138626.0</v>
      </c>
      <c r="K488" s="1">
        <v>1092363.0</v>
      </c>
      <c r="L488" s="1">
        <v>1092363.0</v>
      </c>
      <c r="M488" s="1">
        <v>79.5507662296295</v>
      </c>
      <c r="N488" s="1">
        <v>5131.0</v>
      </c>
      <c r="O488" s="5">
        <f t="shared" si="46"/>
        <v>0</v>
      </c>
      <c r="Q488" s="1">
        <v>1030645.17382051</v>
      </c>
      <c r="S488" s="1">
        <v>85.784767627716</v>
      </c>
      <c r="U488" s="1">
        <v>116324.951485465</v>
      </c>
      <c r="V488" s="1">
        <v>7.54894495010376</v>
      </c>
      <c r="X488" s="1">
        <v>1009848.86446184</v>
      </c>
      <c r="Y488" s="1">
        <v>16.1083970069885</v>
      </c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D489" s="1" t="s">
        <v>34</v>
      </c>
      <c r="E489" s="1">
        <v>90.0</v>
      </c>
      <c r="F489" s="1">
        <v>30.0</v>
      </c>
      <c r="H489" s="1">
        <v>963702.201468039</v>
      </c>
      <c r="I489" s="1">
        <v>9.96144866943359</v>
      </c>
      <c r="J489" s="1">
        <v>1035372.0</v>
      </c>
      <c r="K489" s="1">
        <v>1016389.99999999</v>
      </c>
      <c r="L489" s="1">
        <v>1016389.99999999</v>
      </c>
      <c r="M489" s="1">
        <v>58.449779510498</v>
      </c>
      <c r="N489" s="1">
        <v>3749.0</v>
      </c>
      <c r="O489" s="5">
        <f t="shared" si="46"/>
        <v>0</v>
      </c>
      <c r="Q489" s="1">
        <v>964062.22659857</v>
      </c>
      <c r="S489" s="1">
        <v>65.4473235607147</v>
      </c>
      <c r="U489" s="1">
        <v>114965.156593272</v>
      </c>
      <c r="V489" s="1">
        <v>56.0074062347412</v>
      </c>
      <c r="X489" s="1">
        <v>940194.613181399</v>
      </c>
      <c r="Y489" s="1">
        <v>20.2271742820739</v>
      </c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D490" s="1" t="s">
        <v>35</v>
      </c>
      <c r="E490" s="1">
        <v>90.0</v>
      </c>
      <c r="F490" s="1">
        <v>30.0</v>
      </c>
      <c r="H490" s="1">
        <v>875321.315039593</v>
      </c>
      <c r="I490" s="1">
        <v>10.0044114589691</v>
      </c>
      <c r="J490" s="1">
        <v>896029.0</v>
      </c>
      <c r="K490" s="1">
        <v>896029.0</v>
      </c>
      <c r="L490" s="1">
        <v>896029.0</v>
      </c>
      <c r="M490" s="1">
        <v>19.0577208995819</v>
      </c>
      <c r="N490" s="1">
        <v>795.0</v>
      </c>
      <c r="O490" s="5">
        <f t="shared" si="46"/>
        <v>0</v>
      </c>
      <c r="Q490" s="1">
        <v>875705.419851678</v>
      </c>
      <c r="S490" s="1">
        <v>115.168456792831</v>
      </c>
      <c r="U490" s="1">
        <v>112998.010994022</v>
      </c>
      <c r="V490" s="1">
        <v>8.57564425468444</v>
      </c>
      <c r="X490" s="1">
        <v>859494.89867591</v>
      </c>
      <c r="Y490" s="1">
        <v>32.298460483551</v>
      </c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D491" s="1" t="s">
        <v>36</v>
      </c>
      <c r="E491" s="1">
        <v>90.0</v>
      </c>
      <c r="F491" s="1">
        <v>30.0</v>
      </c>
      <c r="H491" s="1">
        <v>959362.165258955</v>
      </c>
      <c r="I491" s="1">
        <v>9.95750832557678</v>
      </c>
      <c r="J491" s="1">
        <v>978051.0</v>
      </c>
      <c r="K491" s="1">
        <v>976130.999999999</v>
      </c>
      <c r="L491" s="1">
        <v>976130.999999999</v>
      </c>
      <c r="M491" s="1">
        <v>13.3916592597961</v>
      </c>
      <c r="N491" s="1">
        <v>285.0</v>
      </c>
      <c r="O491" s="5">
        <f t="shared" si="46"/>
        <v>0</v>
      </c>
      <c r="Q491" s="1">
        <v>959786.155831337</v>
      </c>
      <c r="S491" s="1">
        <v>91.0091888904571</v>
      </c>
      <c r="U491" s="1">
        <v>116254.398655511</v>
      </c>
      <c r="V491" s="1">
        <v>42.0647799968719</v>
      </c>
      <c r="X491" s="1">
        <v>942912.215830823</v>
      </c>
      <c r="Y491" s="1">
        <v>18.2606785297393</v>
      </c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D492" s="1" t="s">
        <v>37</v>
      </c>
      <c r="E492" s="1">
        <v>90.0</v>
      </c>
      <c r="F492" s="1">
        <v>30.0</v>
      </c>
      <c r="H492" s="1">
        <v>948134.242109103</v>
      </c>
      <c r="I492" s="1">
        <v>9.93063712120056</v>
      </c>
      <c r="J492" s="1">
        <v>974395.0</v>
      </c>
      <c r="K492" s="1">
        <v>971018.999999999</v>
      </c>
      <c r="L492" s="1">
        <v>971018.999999999</v>
      </c>
      <c r="M492" s="1">
        <v>22.1673271656036</v>
      </c>
      <c r="N492" s="1">
        <v>893.0</v>
      </c>
      <c r="O492" s="5">
        <f t="shared" si="46"/>
        <v>0</v>
      </c>
      <c r="Q492" s="1">
        <v>948454.446975386</v>
      </c>
      <c r="S492" s="1">
        <v>101.69226527214</v>
      </c>
      <c r="U492" s="1">
        <v>116239.023099783</v>
      </c>
      <c r="V492" s="1">
        <v>8.25576138496399</v>
      </c>
      <c r="X492" s="1">
        <v>930583.140251352</v>
      </c>
      <c r="Y492" s="1">
        <v>38.8587961196899</v>
      </c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D493" s="1" t="s">
        <v>38</v>
      </c>
      <c r="E493" s="1">
        <v>90.0</v>
      </c>
      <c r="F493" s="1">
        <v>30.0</v>
      </c>
      <c r="H493" s="1">
        <v>913937.53310182</v>
      </c>
      <c r="I493" s="1">
        <v>9.99173879623413</v>
      </c>
      <c r="J493" s="1">
        <v>952729.0</v>
      </c>
      <c r="K493" s="1">
        <v>952728.999999999</v>
      </c>
      <c r="L493" s="1">
        <v>952728.999999999</v>
      </c>
      <c r="M493" s="1">
        <v>33.3513584136962</v>
      </c>
      <c r="N493" s="1">
        <v>1823.0</v>
      </c>
      <c r="O493" s="5">
        <f t="shared" si="46"/>
        <v>0</v>
      </c>
      <c r="Q493" s="1">
        <v>914316.527890255</v>
      </c>
      <c r="S493" s="1">
        <v>87.4211890697479</v>
      </c>
      <c r="U493" s="1">
        <v>114614.982698217</v>
      </c>
      <c r="V493" s="1">
        <v>10.4114592075347</v>
      </c>
      <c r="X493" s="1">
        <v>894921.624755016</v>
      </c>
      <c r="Y493" s="1">
        <v>16.4922928810119</v>
      </c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D494" s="1" t="s">
        <v>39</v>
      </c>
      <c r="E494" s="1">
        <v>90.0</v>
      </c>
      <c r="F494" s="1">
        <v>30.0</v>
      </c>
      <c r="H494" s="1">
        <v>873188.082599768</v>
      </c>
      <c r="I494" s="1">
        <v>9.94737529754638</v>
      </c>
      <c r="J494" s="1">
        <v>922799.0</v>
      </c>
      <c r="K494" s="1">
        <v>921712.999999999</v>
      </c>
      <c r="L494" s="1">
        <v>921712.999999999</v>
      </c>
      <c r="M494" s="1">
        <v>40.1093697547912</v>
      </c>
      <c r="N494" s="1">
        <v>2553.0</v>
      </c>
      <c r="O494" s="5">
        <f t="shared" si="46"/>
        <v>0</v>
      </c>
      <c r="Q494" s="1">
        <v>873461.040680264</v>
      </c>
      <c r="S494" s="1">
        <v>94.3477165699005</v>
      </c>
      <c r="U494" s="1">
        <v>112342.036835757</v>
      </c>
      <c r="V494" s="1">
        <v>7.75710988044738</v>
      </c>
      <c r="X494" s="1">
        <v>866429.517818428</v>
      </c>
      <c r="Y494" s="1">
        <v>37.3258733749389</v>
      </c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D495" s="1" t="s">
        <v>40</v>
      </c>
      <c r="E495" s="1">
        <v>90.0</v>
      </c>
      <c r="F495" s="1">
        <v>30.0</v>
      </c>
      <c r="H495" s="1">
        <v>982717.658808453</v>
      </c>
      <c r="I495" s="1">
        <v>10.004524230957</v>
      </c>
      <c r="J495" s="1">
        <v>1096439.0</v>
      </c>
      <c r="K495" s="1">
        <v>1026968.99999999</v>
      </c>
      <c r="L495" s="1">
        <v>1026968.99999999</v>
      </c>
      <c r="M495" s="1">
        <v>42.0306916236877</v>
      </c>
      <c r="N495" s="1">
        <v>2263.0</v>
      </c>
      <c r="O495" s="5">
        <f t="shared" si="46"/>
        <v>0</v>
      </c>
      <c r="Q495" s="1">
        <v>983094.979183182</v>
      </c>
      <c r="S495" s="1">
        <v>66.2460837364196</v>
      </c>
      <c r="U495" s="1">
        <v>115261.000598487</v>
      </c>
      <c r="V495" s="1">
        <v>8.75901103019714</v>
      </c>
      <c r="X495" s="1">
        <v>962400.418845229</v>
      </c>
      <c r="Y495" s="1">
        <v>18.6904118061065</v>
      </c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D496" s="1" t="s">
        <v>41</v>
      </c>
      <c r="E496" s="1">
        <v>90.0</v>
      </c>
      <c r="F496" s="1">
        <v>30.0</v>
      </c>
      <c r="H496" s="1">
        <v>982193.554735418</v>
      </c>
      <c r="I496" s="1">
        <v>9.95374488830566</v>
      </c>
      <c r="J496" s="1">
        <v>1032471.99999999</v>
      </c>
      <c r="K496" s="1">
        <v>1007630.99999999</v>
      </c>
      <c r="L496" s="1">
        <v>1007630.99999999</v>
      </c>
      <c r="M496" s="1">
        <v>17.0550770759582</v>
      </c>
      <c r="N496" s="1">
        <v>545.0</v>
      </c>
      <c r="O496" s="5">
        <f t="shared" si="46"/>
        <v>0</v>
      </c>
      <c r="Q496" s="1">
        <v>982577.949496467</v>
      </c>
      <c r="S496" s="1">
        <v>64.5591721534729</v>
      </c>
      <c r="U496" s="1">
        <v>113709.179834623</v>
      </c>
      <c r="V496" s="1">
        <v>8.51220178604126</v>
      </c>
      <c r="X496" s="1">
        <v>957676.393872078</v>
      </c>
      <c r="Y496" s="1">
        <v>20.9615154266357</v>
      </c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D497" s="1" t="s">
        <v>42</v>
      </c>
      <c r="E497" s="1">
        <v>90.0</v>
      </c>
      <c r="F497" s="1">
        <v>30.0</v>
      </c>
      <c r="H497" s="1">
        <v>934632.182412346</v>
      </c>
      <c r="I497" s="1">
        <v>9.96816897392273</v>
      </c>
      <c r="J497" s="1">
        <v>989744.0</v>
      </c>
      <c r="K497" s="1">
        <v>971984.999999999</v>
      </c>
      <c r="L497" s="1">
        <v>971984.999999999</v>
      </c>
      <c r="M497" s="1">
        <v>35.2654354572296</v>
      </c>
      <c r="N497" s="1">
        <v>1749.0</v>
      </c>
      <c r="O497" s="5">
        <f t="shared" si="46"/>
        <v>0</v>
      </c>
      <c r="Q497" s="1">
        <v>935016.261065426</v>
      </c>
      <c r="S497" s="1">
        <v>64.4192810058593</v>
      </c>
      <c r="U497" s="1">
        <v>114915.520272789</v>
      </c>
      <c r="V497" s="1">
        <v>9.36497378349304</v>
      </c>
      <c r="X497" s="1">
        <v>909229.385755823</v>
      </c>
      <c r="Y497" s="1">
        <v>19.6324641704559</v>
      </c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D498" s="1" t="s">
        <v>43</v>
      </c>
      <c r="E498" s="1">
        <v>90.0</v>
      </c>
      <c r="F498" s="1">
        <v>30.0</v>
      </c>
      <c r="H498" s="1">
        <v>964002.381787118</v>
      </c>
      <c r="I498" s="1">
        <v>10.0026714801788</v>
      </c>
      <c r="J498" s="1">
        <v>1001637.0</v>
      </c>
      <c r="K498" s="1">
        <v>1001637.0</v>
      </c>
      <c r="L498" s="1">
        <v>1001637.0</v>
      </c>
      <c r="M498" s="1">
        <v>17.5344393253326</v>
      </c>
      <c r="N498" s="1">
        <v>621.0</v>
      </c>
      <c r="O498" s="5">
        <f t="shared" si="46"/>
        <v>0</v>
      </c>
      <c r="Q498" s="1">
        <v>964712.138598833</v>
      </c>
      <c r="S498" s="1">
        <v>148.421587228775</v>
      </c>
      <c r="U498" s="1">
        <v>115817.664425969</v>
      </c>
      <c r="V498" s="1">
        <v>13.4248323440551</v>
      </c>
      <c r="X498" s="1">
        <v>951429.427830359</v>
      </c>
      <c r="Y498" s="1">
        <v>22.6615390777587</v>
      </c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D499" s="1" t="s">
        <v>44</v>
      </c>
      <c r="E499" s="1">
        <v>90.0</v>
      </c>
      <c r="F499" s="1">
        <v>30.0</v>
      </c>
      <c r="H499" s="1">
        <v>898674.397615084</v>
      </c>
      <c r="I499" s="1">
        <v>9.96232604980468</v>
      </c>
      <c r="J499" s="1">
        <v>936898.999999999</v>
      </c>
      <c r="K499" s="1">
        <v>936898.999999999</v>
      </c>
      <c r="L499" s="1">
        <v>936898.999999999</v>
      </c>
      <c r="M499" s="1">
        <v>20.9420411586761</v>
      </c>
      <c r="N499" s="1">
        <v>923.0</v>
      </c>
      <c r="O499" s="5">
        <f t="shared" si="46"/>
        <v>0</v>
      </c>
      <c r="Q499" s="1">
        <v>898986.972603683</v>
      </c>
      <c r="S499" s="1">
        <v>98.6457040309906</v>
      </c>
      <c r="U499" s="1">
        <v>116039.262297196</v>
      </c>
      <c r="V499" s="1">
        <v>7.68316864967346</v>
      </c>
      <c r="X499" s="1">
        <v>889356.025920339</v>
      </c>
      <c r="Y499" s="1">
        <v>20.5973949432373</v>
      </c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D500" s="1" t="s">
        <v>45</v>
      </c>
      <c r="E500" s="1">
        <v>90.0</v>
      </c>
      <c r="F500" s="1">
        <v>30.0</v>
      </c>
      <c r="H500" s="1">
        <v>922330.416365801</v>
      </c>
      <c r="I500" s="1">
        <v>9.96727395057678</v>
      </c>
      <c r="J500" s="1">
        <v>1136941.0</v>
      </c>
      <c r="K500" s="1">
        <v>976870.999999999</v>
      </c>
      <c r="L500" s="1">
        <v>976870.999999999</v>
      </c>
      <c r="M500" s="1">
        <v>27.1588835716247</v>
      </c>
      <c r="N500" s="1">
        <v>1419.0</v>
      </c>
      <c r="O500" s="5">
        <f t="shared" si="46"/>
        <v>0</v>
      </c>
      <c r="Q500" s="1">
        <v>922744.824513401</v>
      </c>
      <c r="S500" s="1">
        <v>142.977421045303</v>
      </c>
      <c r="U500" s="1">
        <v>117708.963809721</v>
      </c>
      <c r="V500" s="1">
        <v>9.10350608825683</v>
      </c>
      <c r="X500" s="1">
        <v>911944.998598378</v>
      </c>
      <c r="Y500" s="1">
        <v>25.0280833244323</v>
      </c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D501" s="1"/>
      <c r="E501" s="6">
        <f t="shared" ref="E501:F501" si="47">AVERAGE(E471:E500)</f>
        <v>90</v>
      </c>
      <c r="F501" s="6">
        <f t="shared" si="47"/>
        <v>30</v>
      </c>
      <c r="H501" s="6">
        <f t="shared" ref="H501:O501" si="48">AVERAGE(H471:H500)</f>
        <v>947928.9444</v>
      </c>
      <c r="I501" s="6">
        <f t="shared" si="48"/>
        <v>9.973576609</v>
      </c>
      <c r="J501" s="6">
        <f t="shared" si="48"/>
        <v>1047172.267</v>
      </c>
      <c r="K501" s="6">
        <f t="shared" si="48"/>
        <v>992755.0667</v>
      </c>
      <c r="L501" s="6">
        <f t="shared" si="48"/>
        <v>992755.0667</v>
      </c>
      <c r="M501" s="6">
        <f t="shared" si="48"/>
        <v>47.06876698</v>
      </c>
      <c r="N501" s="6">
        <f t="shared" si="48"/>
        <v>2836.666667</v>
      </c>
      <c r="O501" s="6">
        <f t="shared" si="48"/>
        <v>0</v>
      </c>
      <c r="Q501" s="6">
        <f>AVERAGE(Q471:Q500)</f>
        <v>948327.549</v>
      </c>
      <c r="S501" s="6">
        <f>AVERAGE(S471:S500)</f>
        <v>104.9838696</v>
      </c>
    </row>
    <row r="502">
      <c r="D502" s="1" t="s">
        <v>16</v>
      </c>
      <c r="E502" s="1">
        <v>100.0</v>
      </c>
      <c r="F502" s="1">
        <v>15.0</v>
      </c>
      <c r="H502" s="1">
        <v>225668.664704196</v>
      </c>
      <c r="I502" s="1">
        <v>11.0222179889678</v>
      </c>
      <c r="J502" s="1">
        <v>357477.0</v>
      </c>
      <c r="K502" s="1">
        <v>304283.999999999</v>
      </c>
      <c r="L502" s="1">
        <v>294201.882997921</v>
      </c>
      <c r="M502" s="1">
        <v>3600.02405786514</v>
      </c>
      <c r="N502" s="1">
        <v>116047.0</v>
      </c>
      <c r="O502" s="5">
        <f t="shared" ref="O502:O531" si="49">100*(K502-L502)/K502</f>
        <v>3.313390452</v>
      </c>
      <c r="Q502" s="1">
        <v>225846.740741026</v>
      </c>
      <c r="S502" s="1">
        <v>104.300462245941</v>
      </c>
      <c r="U502" s="1">
        <v>96246.1806816501</v>
      </c>
      <c r="V502" s="1">
        <v>10.5313961505889</v>
      </c>
      <c r="X502" s="1">
        <v>222142.12906061</v>
      </c>
      <c r="Y502" s="1">
        <v>17.1195085048675</v>
      </c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D503" s="1" t="s">
        <v>17</v>
      </c>
      <c r="E503" s="1">
        <v>100.0</v>
      </c>
      <c r="F503" s="1">
        <v>15.0</v>
      </c>
      <c r="H503" s="1">
        <v>231685.761928004</v>
      </c>
      <c r="I503" s="1">
        <v>10.9912118911743</v>
      </c>
      <c r="J503" s="1">
        <v>393882.0</v>
      </c>
      <c r="K503" s="1">
        <v>344953.0</v>
      </c>
      <c r="L503" s="1">
        <v>318217.82040029</v>
      </c>
      <c r="M503" s="1">
        <v>3600.06779956817</v>
      </c>
      <c r="N503" s="1">
        <v>116123.0</v>
      </c>
      <c r="O503" s="5">
        <f t="shared" si="49"/>
        <v>7.75038327</v>
      </c>
      <c r="Q503" s="1">
        <v>231874.56943078</v>
      </c>
      <c r="S503" s="1">
        <v>90.9579772949218</v>
      </c>
      <c r="U503" s="1" t="s">
        <v>46</v>
      </c>
      <c r="V503" s="1">
        <v>9.50387978553772</v>
      </c>
      <c r="X503" s="1" t="s">
        <v>46</v>
      </c>
      <c r="Y503" s="1">
        <v>9.08267784118652</v>
      </c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D504" s="1" t="s">
        <v>18</v>
      </c>
      <c r="E504" s="1">
        <v>100.0</v>
      </c>
      <c r="F504" s="1">
        <v>15.0</v>
      </c>
      <c r="H504" s="1">
        <v>230439.651475004</v>
      </c>
      <c r="I504" s="1">
        <v>11.0484161376953</v>
      </c>
      <c r="J504" s="1">
        <v>364296.999999999</v>
      </c>
      <c r="K504" s="1">
        <v>311047.0</v>
      </c>
      <c r="L504" s="1">
        <v>302249.354783502</v>
      </c>
      <c r="M504" s="1">
        <v>3600.0306880474</v>
      </c>
      <c r="N504" s="1">
        <v>116465.0</v>
      </c>
      <c r="O504" s="5">
        <f t="shared" si="49"/>
        <v>2.828397386</v>
      </c>
      <c r="Q504" s="1">
        <v>230640.932081584</v>
      </c>
      <c r="S504" s="1">
        <v>183.741830348968</v>
      </c>
      <c r="U504" s="1">
        <v>97617.4314546166</v>
      </c>
      <c r="V504" s="1">
        <v>11.3392217159271</v>
      </c>
      <c r="X504" s="1">
        <v>227623.951190543</v>
      </c>
      <c r="Y504" s="1">
        <v>17.2711918354034</v>
      </c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D505" s="1" t="s">
        <v>19</v>
      </c>
      <c r="E505" s="1">
        <v>100.0</v>
      </c>
      <c r="F505" s="1">
        <v>15.0</v>
      </c>
      <c r="H505" s="1">
        <v>234917.434427509</v>
      </c>
      <c r="I505" s="1">
        <v>10.927984714508</v>
      </c>
      <c r="J505" s="1">
        <v>397580.0</v>
      </c>
      <c r="K505" s="1">
        <v>334629.999999999</v>
      </c>
      <c r="L505" s="1">
        <v>319113.893599819</v>
      </c>
      <c r="M505" s="1">
        <v>3600.07187771797</v>
      </c>
      <c r="N505" s="1">
        <v>116219.0</v>
      </c>
      <c r="O505" s="5">
        <f t="shared" si="49"/>
        <v>4.636794788</v>
      </c>
      <c r="Q505" s="1">
        <v>235104.799198776</v>
      </c>
      <c r="S505" s="1">
        <v>68.7979307174682</v>
      </c>
      <c r="U505" s="1">
        <v>98703.2943692264</v>
      </c>
      <c r="V505" s="1">
        <v>12.1025564670562</v>
      </c>
      <c r="X505" s="1">
        <v>232372.665080905</v>
      </c>
      <c r="Y505" s="1">
        <v>27.2117426395416</v>
      </c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D506" s="1" t="s">
        <v>20</v>
      </c>
      <c r="E506" s="1">
        <v>100.0</v>
      </c>
      <c r="F506" s="1">
        <v>15.0</v>
      </c>
      <c r="H506" s="1">
        <v>238152.977399905</v>
      </c>
      <c r="I506" s="1">
        <v>10.9164497852325</v>
      </c>
      <c r="J506" s="1">
        <v>368897.0</v>
      </c>
      <c r="K506" s="1">
        <v>321929.999999999</v>
      </c>
      <c r="L506" s="1">
        <v>310230.221512745</v>
      </c>
      <c r="M506" s="1">
        <v>3600.00381708145</v>
      </c>
      <c r="N506" s="1">
        <v>115957.0</v>
      </c>
      <c r="O506" s="5">
        <f t="shared" si="49"/>
        <v>3.634261637</v>
      </c>
      <c r="Q506" s="1">
        <v>238376.486908505</v>
      </c>
      <c r="S506" s="1">
        <v>145.537142753601</v>
      </c>
      <c r="U506" s="1">
        <v>100219.858313974</v>
      </c>
      <c r="V506" s="1">
        <v>11.6581745147705</v>
      </c>
      <c r="X506" s="1">
        <v>236172.719841626</v>
      </c>
      <c r="Y506" s="1">
        <v>25.1008512973785</v>
      </c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D507" s="1" t="s">
        <v>21</v>
      </c>
      <c r="E507" s="1">
        <v>100.0</v>
      </c>
      <c r="F507" s="1">
        <v>15.0</v>
      </c>
      <c r="H507" s="1">
        <v>228176.653965829</v>
      </c>
      <c r="I507" s="1">
        <v>10.9624397754669</v>
      </c>
      <c r="J507" s="1">
        <v>366373.0</v>
      </c>
      <c r="K507" s="1">
        <v>316825.999999999</v>
      </c>
      <c r="L507" s="1">
        <v>301618.899991528</v>
      </c>
      <c r="M507" s="1">
        <v>3600.04878902435</v>
      </c>
      <c r="N507" s="1">
        <v>116439.0</v>
      </c>
      <c r="O507" s="5">
        <f t="shared" si="49"/>
        <v>4.799827037</v>
      </c>
      <c r="Q507" s="1">
        <v>228375.235035503</v>
      </c>
      <c r="S507" s="1">
        <v>81.432233095169</v>
      </c>
      <c r="U507" s="1">
        <v>96856.1940547512</v>
      </c>
      <c r="V507" s="1">
        <v>12.6146142482757</v>
      </c>
      <c r="X507" s="1">
        <v>224653.619634507</v>
      </c>
      <c r="Y507" s="1">
        <v>22.5325562953948</v>
      </c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D508" s="1" t="s">
        <v>22</v>
      </c>
      <c r="E508" s="1">
        <v>100.0</v>
      </c>
      <c r="F508" s="1">
        <v>15.0</v>
      </c>
      <c r="H508" s="1">
        <v>239042.25250189</v>
      </c>
      <c r="I508" s="1">
        <v>10.9586281776428</v>
      </c>
      <c r="J508" s="1">
        <v>402308.0</v>
      </c>
      <c r="K508" s="1">
        <v>345003.0</v>
      </c>
      <c r="L508" s="1">
        <v>321856.337616252</v>
      </c>
      <c r="M508" s="1">
        <v>3600.06347775459</v>
      </c>
      <c r="N508" s="1">
        <v>116115.0</v>
      </c>
      <c r="O508" s="5">
        <f t="shared" si="49"/>
        <v>6.709119162</v>
      </c>
      <c r="Q508" s="1">
        <v>239262.642238257</v>
      </c>
      <c r="S508" s="1">
        <v>138.773159742355</v>
      </c>
      <c r="U508" s="1">
        <v>99265.9972445322</v>
      </c>
      <c r="V508" s="1">
        <v>12.7793831825256</v>
      </c>
      <c r="X508" s="1">
        <v>236844.285583758</v>
      </c>
      <c r="Y508" s="1">
        <v>56.5332472324371</v>
      </c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D509" s="1" t="s">
        <v>23</v>
      </c>
      <c r="E509" s="1">
        <v>100.0</v>
      </c>
      <c r="F509" s="1">
        <v>15.0</v>
      </c>
      <c r="H509" s="1">
        <v>241069.212317336</v>
      </c>
      <c r="I509" s="1">
        <v>10.8856055736541</v>
      </c>
      <c r="J509" s="1">
        <v>393190.999999999</v>
      </c>
      <c r="K509" s="1">
        <v>346118.0</v>
      </c>
      <c r="L509" s="1">
        <v>323347.754504578</v>
      </c>
      <c r="M509" s="1">
        <v>3600.02646040916</v>
      </c>
      <c r="N509" s="1">
        <v>116057.0</v>
      </c>
      <c r="O509" s="5">
        <f t="shared" si="49"/>
        <v>6.578752187</v>
      </c>
      <c r="Q509" s="1">
        <v>241275.836885494</v>
      </c>
      <c r="S509" s="1">
        <v>144.241357088089</v>
      </c>
      <c r="U509" s="1">
        <v>98713.9687597711</v>
      </c>
      <c r="V509" s="1">
        <v>11.1008632183074</v>
      </c>
      <c r="X509" s="1">
        <v>238674.439996687</v>
      </c>
      <c r="Y509" s="1">
        <v>23.5222086906433</v>
      </c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D510" s="1" t="s">
        <v>24</v>
      </c>
      <c r="E510" s="1">
        <v>100.0</v>
      </c>
      <c r="F510" s="1">
        <v>15.0</v>
      </c>
      <c r="H510" s="1">
        <v>241918.515841574</v>
      </c>
      <c r="I510" s="1">
        <v>10.9175798892974</v>
      </c>
      <c r="J510" s="1">
        <v>377768.0</v>
      </c>
      <c r="K510" s="1">
        <v>319074.999999999</v>
      </c>
      <c r="L510" s="1">
        <v>311902.903320472</v>
      </c>
      <c r="M510" s="1">
        <v>3600.01209616661</v>
      </c>
      <c r="N510" s="1">
        <v>117281.0</v>
      </c>
      <c r="O510" s="5">
        <f t="shared" si="49"/>
        <v>2.247777695</v>
      </c>
      <c r="Q510" s="1">
        <v>242133.318823464</v>
      </c>
      <c r="S510" s="1">
        <v>155.7440097332</v>
      </c>
      <c r="U510" s="1">
        <v>97577.9062988554</v>
      </c>
      <c r="V510" s="1">
        <v>11.642828464508</v>
      </c>
      <c r="X510" s="1">
        <v>238230.542509196</v>
      </c>
      <c r="Y510" s="1">
        <v>33.7116165161132</v>
      </c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D511" s="1" t="s">
        <v>25</v>
      </c>
      <c r="E511" s="1">
        <v>100.0</v>
      </c>
      <c r="F511" s="1">
        <v>15.0</v>
      </c>
      <c r="H511" s="1">
        <v>244918.938201207</v>
      </c>
      <c r="I511" s="1">
        <v>10.933963060379</v>
      </c>
      <c r="J511" s="1">
        <v>353000.0</v>
      </c>
      <c r="K511" s="1">
        <v>336555.0</v>
      </c>
      <c r="L511" s="1">
        <v>319092.146077808</v>
      </c>
      <c r="M511" s="1">
        <v>3601.00260424613</v>
      </c>
      <c r="N511" s="1">
        <v>116167.0</v>
      </c>
      <c r="O511" s="5">
        <f t="shared" si="49"/>
        <v>5.18870732</v>
      </c>
      <c r="Q511" s="1">
        <v>245140.419553872</v>
      </c>
      <c r="S511" s="1">
        <v>99.3472402095794</v>
      </c>
      <c r="U511" s="1">
        <v>100668.934117721</v>
      </c>
      <c r="V511" s="1">
        <v>11.7606806755065</v>
      </c>
      <c r="X511" s="1">
        <v>242721.783549056</v>
      </c>
      <c r="Y511" s="1">
        <v>49.1676528453826</v>
      </c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D512" s="1" t="s">
        <v>26</v>
      </c>
      <c r="E512" s="1">
        <v>100.0</v>
      </c>
      <c r="F512" s="1">
        <v>15.0</v>
      </c>
      <c r="H512" s="1">
        <v>239207.759303032</v>
      </c>
      <c r="I512" s="1">
        <v>10.9105424880981</v>
      </c>
      <c r="J512" s="1">
        <v>367561.0</v>
      </c>
      <c r="K512" s="1">
        <v>321189.0</v>
      </c>
      <c r="L512" s="1">
        <v>305723.34923446</v>
      </c>
      <c r="M512" s="1">
        <v>3600.0415186882</v>
      </c>
      <c r="N512" s="1">
        <v>116157.0</v>
      </c>
      <c r="O512" s="5">
        <f t="shared" si="49"/>
        <v>4.815124667</v>
      </c>
      <c r="Q512" s="1">
        <v>239404.884231815</v>
      </c>
      <c r="S512" s="1">
        <v>131.64435505867</v>
      </c>
      <c r="U512" s="1">
        <v>99193.621662956</v>
      </c>
      <c r="V512" s="1">
        <v>10.1497087478637</v>
      </c>
      <c r="X512" s="1">
        <v>236451.789197867</v>
      </c>
      <c r="Y512" s="1">
        <v>29.7600502967834</v>
      </c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D513" s="1" t="s">
        <v>27</v>
      </c>
      <c r="E513" s="1">
        <v>100.0</v>
      </c>
      <c r="F513" s="1">
        <v>15.0</v>
      </c>
      <c r="H513" s="1">
        <v>237711.252865789</v>
      </c>
      <c r="I513" s="1">
        <v>10.9450016021728</v>
      </c>
      <c r="J513" s="1">
        <v>388432.0</v>
      </c>
      <c r="K513" s="1">
        <v>330559.999999999</v>
      </c>
      <c r="L513" s="1">
        <v>313100.78725569</v>
      </c>
      <c r="M513" s="1">
        <v>3600.01648926734</v>
      </c>
      <c r="N513" s="1">
        <v>116059.0</v>
      </c>
      <c r="O513" s="5">
        <f t="shared" si="49"/>
        <v>5.281707631</v>
      </c>
      <c r="Q513" s="1">
        <v>237910.798228404</v>
      </c>
      <c r="S513" s="1">
        <v>117.56434726715</v>
      </c>
      <c r="U513" s="1">
        <v>96949.8387757785</v>
      </c>
      <c r="V513" s="1">
        <v>21.5296382904052</v>
      </c>
      <c r="X513" s="1" t="s">
        <v>46</v>
      </c>
      <c r="Y513" s="1">
        <v>8.87572574615478</v>
      </c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D514" s="1" t="s">
        <v>28</v>
      </c>
      <c r="E514" s="1">
        <v>100.0</v>
      </c>
      <c r="F514" s="1">
        <v>15.0</v>
      </c>
      <c r="H514" s="1">
        <v>223102.347120256</v>
      </c>
      <c r="I514" s="1">
        <v>10.8883783817291</v>
      </c>
      <c r="J514" s="1">
        <v>368219.0</v>
      </c>
      <c r="K514" s="1">
        <v>316005.0</v>
      </c>
      <c r="L514" s="1">
        <v>298294.483375967</v>
      </c>
      <c r="M514" s="1">
        <v>3600.02634906768</v>
      </c>
      <c r="N514" s="1">
        <v>116141.0</v>
      </c>
      <c r="O514" s="5">
        <f t="shared" si="49"/>
        <v>5.604505189</v>
      </c>
      <c r="Q514" s="1">
        <v>223299.257686814</v>
      </c>
      <c r="S514" s="1">
        <v>117.867693424224</v>
      </c>
      <c r="U514" s="1">
        <v>96609.7112560866</v>
      </c>
      <c r="V514" s="1">
        <v>30.92085647583</v>
      </c>
      <c r="X514" s="1">
        <v>221591.724541589</v>
      </c>
      <c r="Y514" s="1">
        <v>33.2673318386077</v>
      </c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D515" s="1" t="s">
        <v>29</v>
      </c>
      <c r="E515" s="1">
        <v>100.0</v>
      </c>
      <c r="F515" s="1">
        <v>15.0</v>
      </c>
      <c r="H515" s="1">
        <v>230634.188227816</v>
      </c>
      <c r="I515" s="1">
        <v>10.9388675689697</v>
      </c>
      <c r="J515" s="1">
        <v>386196.999999999</v>
      </c>
      <c r="K515" s="1">
        <v>327598.0</v>
      </c>
      <c r="L515" s="1">
        <v>309849.266446975</v>
      </c>
      <c r="M515" s="1">
        <v>3600.00460720062</v>
      </c>
      <c r="N515" s="1">
        <v>115989.0</v>
      </c>
      <c r="O515" s="5">
        <f t="shared" si="49"/>
        <v>5.417839411</v>
      </c>
      <c r="Q515" s="1">
        <v>230833.055603793</v>
      </c>
      <c r="S515" s="1">
        <v>81.4377913475036</v>
      </c>
      <c r="U515" s="1">
        <v>98401.7380546222</v>
      </c>
      <c r="V515" s="1">
        <v>10.6491115093231</v>
      </c>
      <c r="X515" s="1">
        <v>228279.910930475</v>
      </c>
      <c r="Y515" s="1">
        <v>29.2751786708831</v>
      </c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D516" s="1" t="s">
        <v>30</v>
      </c>
      <c r="E516" s="1">
        <v>100.0</v>
      </c>
      <c r="F516" s="1">
        <v>15.0</v>
      </c>
      <c r="H516" s="1">
        <v>242476.267418456</v>
      </c>
      <c r="I516" s="1">
        <v>10.9251058101654</v>
      </c>
      <c r="J516" s="1">
        <v>404680.0</v>
      </c>
      <c r="K516" s="1">
        <v>345681.999999999</v>
      </c>
      <c r="L516" s="1">
        <v>325019.801155335</v>
      </c>
      <c r="M516" s="1">
        <v>3600.03222417831</v>
      </c>
      <c r="N516" s="1">
        <v>115725.0</v>
      </c>
      <c r="O516" s="5">
        <f t="shared" si="49"/>
        <v>5.977227291</v>
      </c>
      <c r="Q516" s="1">
        <v>242672.829653026</v>
      </c>
      <c r="S516" s="1">
        <v>116.11586523056</v>
      </c>
      <c r="U516" s="1">
        <v>98238.1785095924</v>
      </c>
      <c r="V516" s="1">
        <v>10.7988278865814</v>
      </c>
      <c r="X516" s="1">
        <v>239998.480566184</v>
      </c>
      <c r="Y516" s="1">
        <v>41.53711104393</v>
      </c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D517" s="1" t="s">
        <v>31</v>
      </c>
      <c r="E517" s="1">
        <v>100.0</v>
      </c>
      <c r="F517" s="1">
        <v>15.0</v>
      </c>
      <c r="H517" s="1">
        <v>234842.998616318</v>
      </c>
      <c r="I517" s="1">
        <v>11.048279762268</v>
      </c>
      <c r="J517" s="1">
        <v>401823.0</v>
      </c>
      <c r="K517" s="1">
        <v>335412.0</v>
      </c>
      <c r="L517" s="1">
        <v>322204.078865953</v>
      </c>
      <c r="M517" s="1">
        <v>3600.0708246231</v>
      </c>
      <c r="N517" s="1">
        <v>115825.0</v>
      </c>
      <c r="O517" s="5">
        <f t="shared" si="49"/>
        <v>3.937820094</v>
      </c>
      <c r="Q517" s="1">
        <v>235048.758577249</v>
      </c>
      <c r="S517" s="1">
        <v>122.892526626586</v>
      </c>
      <c r="U517" s="1">
        <v>97535.005724501</v>
      </c>
      <c r="V517" s="1">
        <v>11.6762518882751</v>
      </c>
      <c r="X517" s="1">
        <v>231638.354604965</v>
      </c>
      <c r="Y517" s="1">
        <v>21.8243837356567</v>
      </c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D518" s="1" t="s">
        <v>32</v>
      </c>
      <c r="E518" s="1">
        <v>100.0</v>
      </c>
      <c r="F518" s="1">
        <v>15.0</v>
      </c>
      <c r="H518" s="1">
        <v>240216.712156843</v>
      </c>
      <c r="I518" s="1">
        <v>10.9995689392089</v>
      </c>
      <c r="J518" s="1">
        <v>383085.0</v>
      </c>
      <c r="K518" s="1">
        <v>332098.0</v>
      </c>
      <c r="L518" s="1">
        <v>314316.682808959</v>
      </c>
      <c r="M518" s="1">
        <v>3600.00938463211</v>
      </c>
      <c r="N518" s="1">
        <v>115753.0</v>
      </c>
      <c r="O518" s="5">
        <f t="shared" si="49"/>
        <v>5.354237963</v>
      </c>
      <c r="Q518" s="1">
        <v>240423.982867528</v>
      </c>
      <c r="S518" s="1">
        <v>100.937465429306</v>
      </c>
      <c r="U518" s="1">
        <v>96900.0438352831</v>
      </c>
      <c r="V518" s="1">
        <v>10.8207898139953</v>
      </c>
      <c r="X518" s="1">
        <v>236213.409173099</v>
      </c>
      <c r="Y518" s="1">
        <v>26.4459483623504</v>
      </c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D519" s="1" t="s">
        <v>33</v>
      </c>
      <c r="E519" s="1">
        <v>100.0</v>
      </c>
      <c r="F519" s="1">
        <v>15.0</v>
      </c>
      <c r="H519" s="1">
        <v>243094.948490879</v>
      </c>
      <c r="I519" s="1">
        <v>11.0321204662323</v>
      </c>
      <c r="J519" s="1">
        <v>402737.0</v>
      </c>
      <c r="K519" s="1">
        <v>343742.0</v>
      </c>
      <c r="L519" s="1">
        <v>325253.912152373</v>
      </c>
      <c r="M519" s="1">
        <v>3600.04948639869</v>
      </c>
      <c r="N519" s="1">
        <v>115901.0</v>
      </c>
      <c r="O519" s="5">
        <f t="shared" si="49"/>
        <v>5.378478</v>
      </c>
      <c r="Q519" s="1">
        <v>243303.170588124</v>
      </c>
      <c r="S519" s="1">
        <v>115.573049783706</v>
      </c>
      <c r="U519" s="1">
        <v>99195.0745981083</v>
      </c>
      <c r="V519" s="1">
        <v>10.9807653427124</v>
      </c>
      <c r="X519" s="1">
        <v>241132.901073653</v>
      </c>
      <c r="Y519" s="1">
        <v>30.1510868072509</v>
      </c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D520" s="1" t="s">
        <v>34</v>
      </c>
      <c r="E520" s="1">
        <v>100.0</v>
      </c>
      <c r="F520" s="1">
        <v>15.0</v>
      </c>
      <c r="H520" s="1">
        <v>228772.805221527</v>
      </c>
      <c r="I520" s="1">
        <v>10.8418064117431</v>
      </c>
      <c r="J520" s="1">
        <v>391211.0</v>
      </c>
      <c r="K520" s="1">
        <v>331610.0</v>
      </c>
      <c r="L520" s="1">
        <v>313158.069596955</v>
      </c>
      <c r="M520" s="1">
        <v>3600.01930427551</v>
      </c>
      <c r="N520" s="1">
        <v>116325.0</v>
      </c>
      <c r="O520" s="5">
        <f t="shared" si="49"/>
        <v>5.564346794</v>
      </c>
      <c r="Q520" s="1">
        <v>228964.61058915</v>
      </c>
      <c r="S520" s="1">
        <v>78.4417424201965</v>
      </c>
      <c r="U520" s="1">
        <v>97489.9671514967</v>
      </c>
      <c r="V520" s="1">
        <v>23.2353911399841</v>
      </c>
      <c r="X520" s="1">
        <v>226766.864107552</v>
      </c>
      <c r="Y520" s="1">
        <v>22.6673827171325</v>
      </c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D521" s="1" t="s">
        <v>35</v>
      </c>
      <c r="E521" s="1">
        <v>100.0</v>
      </c>
      <c r="F521" s="1">
        <v>15.0</v>
      </c>
      <c r="H521" s="1">
        <v>226233.38240682</v>
      </c>
      <c r="I521" s="1">
        <v>10.8612189292907</v>
      </c>
      <c r="J521" s="1">
        <v>348171.0</v>
      </c>
      <c r="K521" s="1">
        <v>298375.0</v>
      </c>
      <c r="L521" s="1">
        <v>290205.570415997</v>
      </c>
      <c r="M521" s="1">
        <v>3600.04882001876</v>
      </c>
      <c r="N521" s="1">
        <v>117151.0</v>
      </c>
      <c r="O521" s="5">
        <f t="shared" si="49"/>
        <v>2.737973887</v>
      </c>
      <c r="Q521" s="1">
        <v>226439.935341902</v>
      </c>
      <c r="S521" s="1">
        <v>110.300105571746</v>
      </c>
      <c r="U521" s="1">
        <v>94243.9986790748</v>
      </c>
      <c r="V521" s="1">
        <v>12.066398859024</v>
      </c>
      <c r="X521" s="1">
        <v>223009.915077678</v>
      </c>
      <c r="Y521" s="1">
        <v>28.0448200702667</v>
      </c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D522" s="1" t="s">
        <v>36</v>
      </c>
      <c r="E522" s="1">
        <v>100.0</v>
      </c>
      <c r="F522" s="1">
        <v>15.0</v>
      </c>
      <c r="H522" s="1">
        <v>239593.787493462</v>
      </c>
      <c r="I522" s="1">
        <v>10.9163444042205</v>
      </c>
      <c r="J522" s="1">
        <v>358670.0</v>
      </c>
      <c r="K522" s="1">
        <v>310083.0</v>
      </c>
      <c r="L522" s="1">
        <v>306268.101038765</v>
      </c>
      <c r="M522" s="1">
        <v>3600.05422806739</v>
      </c>
      <c r="N522" s="1">
        <v>119609.0</v>
      </c>
      <c r="O522" s="5">
        <f t="shared" si="49"/>
        <v>1.23028317</v>
      </c>
      <c r="Q522" s="1">
        <v>239787.796972069</v>
      </c>
      <c r="S522" s="1">
        <v>115.680579662323</v>
      </c>
      <c r="U522" s="1">
        <v>100659.84958379</v>
      </c>
      <c r="V522" s="1">
        <v>21.5868933200836</v>
      </c>
      <c r="X522" s="1">
        <v>236869.563830077</v>
      </c>
      <c r="Y522" s="1">
        <v>29.4111649990081</v>
      </c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D523" s="1" t="s">
        <v>37</v>
      </c>
      <c r="E523" s="1">
        <v>100.0</v>
      </c>
      <c r="F523" s="1">
        <v>15.0</v>
      </c>
      <c r="H523" s="1">
        <v>241701.024002478</v>
      </c>
      <c r="I523" s="1">
        <v>10.9058821201324</v>
      </c>
      <c r="J523" s="1">
        <v>374105.0</v>
      </c>
      <c r="K523" s="1">
        <v>314764.0</v>
      </c>
      <c r="L523" s="1">
        <v>310241.510284838</v>
      </c>
      <c r="M523" s="1">
        <v>3600.03838777542</v>
      </c>
      <c r="N523" s="1">
        <v>119591.0</v>
      </c>
      <c r="O523" s="5">
        <f t="shared" si="49"/>
        <v>1.436787471</v>
      </c>
      <c r="Q523" s="1">
        <v>241919.981388388</v>
      </c>
      <c r="S523" s="1">
        <v>170.831798315048</v>
      </c>
      <c r="U523" s="1">
        <v>98904.3303491752</v>
      </c>
      <c r="V523" s="1">
        <v>10.6173446178436</v>
      </c>
      <c r="X523" s="1">
        <v>238661.114261165</v>
      </c>
      <c r="Y523" s="1">
        <v>24.2143449783325</v>
      </c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D524" s="1" t="s">
        <v>38</v>
      </c>
      <c r="E524" s="1">
        <v>100.0</v>
      </c>
      <c r="F524" s="1">
        <v>15.0</v>
      </c>
      <c r="H524" s="1">
        <v>229940.223505057</v>
      </c>
      <c r="I524" s="1">
        <v>10.9037392139434</v>
      </c>
      <c r="J524" s="1">
        <v>359258.0</v>
      </c>
      <c r="K524" s="1">
        <v>316291.999999999</v>
      </c>
      <c r="L524" s="1">
        <v>300086.518405922</v>
      </c>
      <c r="M524" s="1">
        <v>3600.0785844326</v>
      </c>
      <c r="N524" s="1">
        <v>116497.0</v>
      </c>
      <c r="O524" s="5">
        <f t="shared" si="49"/>
        <v>5.12358251</v>
      </c>
      <c r="Q524" s="1">
        <v>230124.071460447</v>
      </c>
      <c r="S524" s="1">
        <v>109.305843830108</v>
      </c>
      <c r="U524" s="1">
        <v>99133.6076859206</v>
      </c>
      <c r="V524" s="1">
        <v>21.1063947677612</v>
      </c>
      <c r="X524" s="1">
        <v>228781.430157166</v>
      </c>
      <c r="Y524" s="1">
        <v>22.239432811737</v>
      </c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D525" s="1" t="s">
        <v>39</v>
      </c>
      <c r="E525" s="1">
        <v>100.0</v>
      </c>
      <c r="F525" s="1">
        <v>15.0</v>
      </c>
      <c r="H525" s="1">
        <v>235857.493734089</v>
      </c>
      <c r="I525" s="1">
        <v>10.9274163246154</v>
      </c>
      <c r="J525" s="1">
        <v>385918.0</v>
      </c>
      <c r="K525" s="1">
        <v>337301.0</v>
      </c>
      <c r="L525" s="1">
        <v>314102.93014403</v>
      </c>
      <c r="M525" s="1">
        <v>3600.05684995651</v>
      </c>
      <c r="N525" s="1">
        <v>116569.0</v>
      </c>
      <c r="O525" s="5">
        <f t="shared" si="49"/>
        <v>6.877557391</v>
      </c>
      <c r="Q525" s="1">
        <v>236069.39686671</v>
      </c>
      <c r="S525" s="1">
        <v>83.4814887046814</v>
      </c>
      <c r="U525" s="1">
        <v>96404.9582931538</v>
      </c>
      <c r="V525" s="1">
        <v>10.9287450313568</v>
      </c>
      <c r="X525" s="1">
        <v>232349.852633169</v>
      </c>
      <c r="Y525" s="1">
        <v>24.0444011688232</v>
      </c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D526" s="1" t="s">
        <v>40</v>
      </c>
      <c r="E526" s="1">
        <v>100.0</v>
      </c>
      <c r="F526" s="1">
        <v>15.0</v>
      </c>
      <c r="H526" s="1">
        <v>241307.391390708</v>
      </c>
      <c r="I526" s="1">
        <v>10.8392672538757</v>
      </c>
      <c r="J526" s="1">
        <v>365628.999999999</v>
      </c>
      <c r="K526" s="1">
        <v>316952.999999999</v>
      </c>
      <c r="L526" s="1">
        <v>305857.909087508</v>
      </c>
      <c r="M526" s="1">
        <v>3600.06579208374</v>
      </c>
      <c r="N526" s="1">
        <v>116307.0</v>
      </c>
      <c r="O526" s="5">
        <f t="shared" si="49"/>
        <v>3.500547688</v>
      </c>
      <c r="Q526" s="1">
        <v>241498.74755498</v>
      </c>
      <c r="S526" s="1">
        <v>121.247132778167</v>
      </c>
      <c r="U526" s="1">
        <v>102157.875978634</v>
      </c>
      <c r="V526" s="1">
        <v>26.9210932254791</v>
      </c>
      <c r="X526" s="1">
        <v>239611.151699757</v>
      </c>
      <c r="Y526" s="1">
        <v>32.164650440216</v>
      </c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D527" s="1" t="s">
        <v>41</v>
      </c>
      <c r="E527" s="1">
        <v>100.0</v>
      </c>
      <c r="F527" s="1">
        <v>15.0</v>
      </c>
      <c r="H527" s="1">
        <v>239007.513060346</v>
      </c>
      <c r="I527" s="1">
        <v>10.8592789173126</v>
      </c>
      <c r="J527" s="1">
        <v>382066.0</v>
      </c>
      <c r="K527" s="1">
        <v>316119.0</v>
      </c>
      <c r="L527" s="1">
        <v>310795.153145218</v>
      </c>
      <c r="M527" s="1">
        <v>3600.01162791252</v>
      </c>
      <c r="N527" s="1">
        <v>119571.0</v>
      </c>
      <c r="O527" s="5">
        <f t="shared" si="49"/>
        <v>1.68412745</v>
      </c>
      <c r="Q527" s="1">
        <v>239206.990479329</v>
      </c>
      <c r="S527" s="1">
        <v>90.8228244781494</v>
      </c>
      <c r="U527" s="1">
        <v>98622.0307601617</v>
      </c>
      <c r="V527" s="1">
        <v>10.9594359397888</v>
      </c>
      <c r="X527" s="1">
        <v>236995.214967979</v>
      </c>
      <c r="Y527" s="1">
        <v>32.1539344787597</v>
      </c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D528" s="1" t="s">
        <v>42</v>
      </c>
      <c r="E528" s="1">
        <v>100.0</v>
      </c>
      <c r="F528" s="1">
        <v>15.0</v>
      </c>
      <c r="H528" s="1">
        <v>233213.194940886</v>
      </c>
      <c r="I528" s="1">
        <v>10.834814786911</v>
      </c>
      <c r="J528" s="1">
        <v>342517.0</v>
      </c>
      <c r="K528" s="1">
        <v>305530.0</v>
      </c>
      <c r="L528" s="1">
        <v>297476.590000324</v>
      </c>
      <c r="M528" s="1">
        <v>3600.05148530006</v>
      </c>
      <c r="N528" s="1">
        <v>116835.0</v>
      </c>
      <c r="O528" s="5">
        <f t="shared" si="49"/>
        <v>2.63588191</v>
      </c>
      <c r="Q528" s="1">
        <v>233409.67697527</v>
      </c>
      <c r="S528" s="1">
        <v>83.7893931865692</v>
      </c>
      <c r="U528" s="1">
        <v>98704.0028332872</v>
      </c>
      <c r="V528" s="1">
        <v>11.4109859466552</v>
      </c>
      <c r="X528" s="1">
        <v>231519.306288994</v>
      </c>
      <c r="Y528" s="1">
        <v>18.6719772815704</v>
      </c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D529" s="1" t="s">
        <v>43</v>
      </c>
      <c r="E529" s="1">
        <v>100.0</v>
      </c>
      <c r="F529" s="1">
        <v>15.0</v>
      </c>
      <c r="H529" s="1">
        <v>239904.412350634</v>
      </c>
      <c r="I529" s="1">
        <v>10.8238844871521</v>
      </c>
      <c r="J529" s="1">
        <v>397098.0</v>
      </c>
      <c r="K529" s="1">
        <v>341722.999999999</v>
      </c>
      <c r="L529" s="1">
        <v>320576.247638314</v>
      </c>
      <c r="M529" s="1">
        <v>3600.0467596054</v>
      </c>
      <c r="N529" s="1">
        <v>116911.0</v>
      </c>
      <c r="O529" s="5">
        <f t="shared" si="49"/>
        <v>6.188273064</v>
      </c>
      <c r="Q529" s="1">
        <v>240124.789106227</v>
      </c>
      <c r="S529" s="1">
        <v>120.419199228286</v>
      </c>
      <c r="U529" s="1" t="s">
        <v>46</v>
      </c>
      <c r="V529" s="1">
        <v>9.37741374969482</v>
      </c>
      <c r="X529" s="1" t="s">
        <v>46</v>
      </c>
      <c r="Y529" s="1">
        <v>8.91276931762695</v>
      </c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D530" s="1" t="s">
        <v>44</v>
      </c>
      <c r="E530" s="1">
        <v>100.0</v>
      </c>
      <c r="F530" s="1">
        <v>15.0</v>
      </c>
      <c r="H530" s="1">
        <v>237701.688060502</v>
      </c>
      <c r="I530" s="1">
        <v>10.8235871791839</v>
      </c>
      <c r="J530" s="1">
        <v>372993.0</v>
      </c>
      <c r="K530" s="1">
        <v>316243.0</v>
      </c>
      <c r="L530" s="1">
        <v>306573.73026134</v>
      </c>
      <c r="M530" s="1">
        <v>3600.07554078102</v>
      </c>
      <c r="N530" s="1">
        <v>116561.0</v>
      </c>
      <c r="O530" s="5">
        <f t="shared" si="49"/>
        <v>3.057544274</v>
      </c>
      <c r="Q530" s="1">
        <v>237900.178280079</v>
      </c>
      <c r="S530" s="1">
        <v>104.76256942749</v>
      </c>
      <c r="U530" s="1">
        <v>100285.034799597</v>
      </c>
      <c r="V530" s="1">
        <v>12.0847840309143</v>
      </c>
      <c r="X530" s="1">
        <v>235359.533056208</v>
      </c>
      <c r="Y530" s="1">
        <v>30.1998414993286</v>
      </c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D531" s="1" t="s">
        <v>45</v>
      </c>
      <c r="E531" s="1">
        <v>100.0</v>
      </c>
      <c r="F531" s="1">
        <v>15.0</v>
      </c>
      <c r="H531" s="1">
        <v>238614.908540591</v>
      </c>
      <c r="I531" s="1">
        <v>10.8636801242828</v>
      </c>
      <c r="J531" s="1">
        <v>381140.0</v>
      </c>
      <c r="K531" s="1">
        <v>317985.0</v>
      </c>
      <c r="L531" s="1">
        <v>309853.187261693</v>
      </c>
      <c r="M531" s="1">
        <v>3600.04993152618</v>
      </c>
      <c r="N531" s="1">
        <v>117093.0</v>
      </c>
      <c r="O531" s="5">
        <f t="shared" si="49"/>
        <v>2.557294444</v>
      </c>
      <c r="Q531" s="1">
        <v>238813.745363713</v>
      </c>
      <c r="S531" s="1">
        <v>138.530474424362</v>
      </c>
      <c r="U531" s="1">
        <v>100870.02812382</v>
      </c>
      <c r="V531" s="1">
        <v>11.3091776371002</v>
      </c>
      <c r="X531" s="1">
        <v>235458.236854079</v>
      </c>
      <c r="Y531" s="1">
        <v>31.4575173854827</v>
      </c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D532" s="1"/>
      <c r="E532" s="6">
        <f t="shared" ref="E532:F532" si="50">AVERAGE(E502:E531)</f>
        <v>100</v>
      </c>
      <c r="F532" s="6">
        <f t="shared" si="50"/>
        <v>15</v>
      </c>
      <c r="H532" s="6">
        <f t="shared" ref="H532:O532" si="51">AVERAGE(H502:H531)</f>
        <v>235970.8121</v>
      </c>
      <c r="I532" s="6">
        <f t="shared" si="51"/>
        <v>10.92177607</v>
      </c>
      <c r="J532" s="6">
        <f t="shared" si="51"/>
        <v>377876.1</v>
      </c>
      <c r="K532" s="6">
        <f t="shared" si="51"/>
        <v>325189.5</v>
      </c>
      <c r="L532" s="6">
        <f t="shared" si="51"/>
        <v>310692.9698</v>
      </c>
      <c r="M532" s="6">
        <f t="shared" si="51"/>
        <v>3600.073329</v>
      </c>
      <c r="N532" s="6">
        <f t="shared" si="51"/>
        <v>116648</v>
      </c>
      <c r="O532" s="6">
        <f t="shared" si="51"/>
        <v>4.401618374</v>
      </c>
      <c r="Q532" s="6">
        <f>AVERAGE(Q502:Q531)</f>
        <v>236172.9213</v>
      </c>
      <c r="S532" s="6">
        <f>AVERAGE(S502:S531)</f>
        <v>114.8173196</v>
      </c>
    </row>
    <row r="533">
      <c r="D533" s="1" t="s">
        <v>16</v>
      </c>
      <c r="E533" s="1">
        <v>100.0</v>
      </c>
      <c r="F533" s="1">
        <v>20.0</v>
      </c>
      <c r="H533" s="1">
        <v>365139.820624275</v>
      </c>
      <c r="I533" s="1">
        <v>10.9333889484405</v>
      </c>
      <c r="J533" s="1">
        <v>518977.0</v>
      </c>
      <c r="K533" s="1">
        <v>440800.0</v>
      </c>
      <c r="L533" s="1">
        <v>436189.744518195</v>
      </c>
      <c r="M533" s="1">
        <v>3600.07580351829</v>
      </c>
      <c r="N533" s="1">
        <v>119835.0</v>
      </c>
      <c r="O533" s="5">
        <f t="shared" ref="O533:O562" si="52">100*(K533-L533)/K533</f>
        <v>1.04588373</v>
      </c>
      <c r="Q533" s="1">
        <v>365376.017060672</v>
      </c>
      <c r="S533" s="1">
        <v>83.4520854949951</v>
      </c>
      <c r="U533" s="1">
        <v>101078.088364407</v>
      </c>
      <c r="V533" s="1">
        <v>10.9878957271575</v>
      </c>
      <c r="X533" s="1">
        <v>358812.445387991</v>
      </c>
      <c r="Y533" s="1">
        <v>47.7636024951934</v>
      </c>
      <c r="Z533" s="1"/>
    </row>
    <row r="534">
      <c r="D534" s="1" t="s">
        <v>17</v>
      </c>
      <c r="E534" s="1">
        <v>100.0</v>
      </c>
      <c r="F534" s="1">
        <v>20.0</v>
      </c>
      <c r="H534" s="1">
        <v>379570.320650022</v>
      </c>
      <c r="I534" s="1">
        <v>10.9502704143524</v>
      </c>
      <c r="J534" s="1">
        <v>620840.0</v>
      </c>
      <c r="K534" s="1">
        <v>492287.999999999</v>
      </c>
      <c r="L534" s="1">
        <v>479524.680455457</v>
      </c>
      <c r="M534" s="1">
        <v>3600.07366299629</v>
      </c>
      <c r="N534" s="1">
        <v>117459.0</v>
      </c>
      <c r="O534" s="5">
        <f t="shared" si="52"/>
        <v>2.592652989</v>
      </c>
      <c r="Q534" s="1">
        <v>379835.028951083</v>
      </c>
      <c r="S534" s="1">
        <v>177.161359548568</v>
      </c>
      <c r="U534" s="1" t="s">
        <v>46</v>
      </c>
      <c r="V534" s="1">
        <v>9.13094067573547</v>
      </c>
      <c r="X534" s="1" t="s">
        <v>46</v>
      </c>
      <c r="Y534" s="1">
        <v>8.85136032104492</v>
      </c>
      <c r="Z534" s="1"/>
    </row>
    <row r="535">
      <c r="D535" s="1" t="s">
        <v>18</v>
      </c>
      <c r="E535" s="1">
        <v>100.0</v>
      </c>
      <c r="F535" s="1">
        <v>20.0</v>
      </c>
      <c r="H535" s="1">
        <v>369259.840939521</v>
      </c>
      <c r="I535" s="1">
        <v>10.968267917633</v>
      </c>
      <c r="J535" s="1">
        <v>461664.0</v>
      </c>
      <c r="K535" s="1">
        <v>447165.999999999</v>
      </c>
      <c r="L535" s="1">
        <v>447165.999999999</v>
      </c>
      <c r="M535" s="1">
        <v>1354.68174242973</v>
      </c>
      <c r="N535" s="1">
        <v>63605.0</v>
      </c>
      <c r="O535" s="5">
        <f t="shared" si="52"/>
        <v>0</v>
      </c>
      <c r="Q535" s="1">
        <v>369495.981694001</v>
      </c>
      <c r="S535" s="1">
        <v>89.8475716114044</v>
      </c>
      <c r="U535" s="1">
        <v>102225.999781502</v>
      </c>
      <c r="V535" s="1">
        <v>13.1215739250183</v>
      </c>
      <c r="X535" s="1">
        <v>364972.858871906</v>
      </c>
      <c r="Y535" s="1">
        <v>23.320392370224</v>
      </c>
      <c r="Z535" s="1"/>
    </row>
    <row r="536">
      <c r="D536" s="1" t="s">
        <v>19</v>
      </c>
      <c r="E536" s="1">
        <v>100.0</v>
      </c>
      <c r="F536" s="1">
        <v>20.0</v>
      </c>
      <c r="H536" s="1">
        <v>385129.38931012</v>
      </c>
      <c r="I536" s="1">
        <v>10.9074864387512</v>
      </c>
      <c r="J536" s="1">
        <v>510696.0</v>
      </c>
      <c r="K536" s="1">
        <v>487297.0</v>
      </c>
      <c r="L536" s="1">
        <v>481224.9519024</v>
      </c>
      <c r="M536" s="1">
        <v>3600.04554867744</v>
      </c>
      <c r="N536" s="1">
        <v>121523.0</v>
      </c>
      <c r="O536" s="5">
        <f t="shared" si="52"/>
        <v>1.246067203</v>
      </c>
      <c r="Q536" s="1">
        <v>385388.144416289</v>
      </c>
      <c r="S536" s="1">
        <v>181.945315599441</v>
      </c>
      <c r="U536" s="1">
        <v>103151.430761648</v>
      </c>
      <c r="V536" s="1">
        <v>14.176620721817</v>
      </c>
      <c r="X536" s="1">
        <v>381259.259218434</v>
      </c>
      <c r="Y536" s="1">
        <v>35.6648623943328</v>
      </c>
      <c r="Z536" s="1"/>
    </row>
    <row r="537">
      <c r="D537" s="1" t="s">
        <v>20</v>
      </c>
      <c r="E537" s="1">
        <v>100.0</v>
      </c>
      <c r="F537" s="1">
        <v>20.0</v>
      </c>
      <c r="H537" s="1">
        <v>392108.245329854</v>
      </c>
      <c r="I537" s="1">
        <v>10.9715025424957</v>
      </c>
      <c r="J537" s="1">
        <v>554530.999999999</v>
      </c>
      <c r="K537" s="1">
        <v>474208.999999999</v>
      </c>
      <c r="L537" s="1">
        <v>471856.814599486</v>
      </c>
      <c r="M537" s="1">
        <v>3600.07485771179</v>
      </c>
      <c r="N537" s="1">
        <v>124081.0</v>
      </c>
      <c r="O537" s="5">
        <f t="shared" si="52"/>
        <v>0.4960229351</v>
      </c>
      <c r="Q537" s="1">
        <v>392381.533927977</v>
      </c>
      <c r="S537" s="1">
        <v>149.565695762634</v>
      </c>
      <c r="U537" s="1">
        <v>105010.08352181</v>
      </c>
      <c r="V537" s="1">
        <v>11.0399458408355</v>
      </c>
      <c r="X537" s="1">
        <v>388637.29047345</v>
      </c>
      <c r="Y537" s="1">
        <v>59.6444113254547</v>
      </c>
      <c r="Z537" s="1"/>
    </row>
    <row r="538">
      <c r="D538" s="1" t="s">
        <v>21</v>
      </c>
      <c r="E538" s="1">
        <v>100.0</v>
      </c>
      <c r="F538" s="1">
        <v>20.0</v>
      </c>
      <c r="H538" s="1">
        <v>368123.647828615</v>
      </c>
      <c r="I538" s="1">
        <v>11.0066821575164</v>
      </c>
      <c r="J538" s="1">
        <v>488085.0</v>
      </c>
      <c r="K538" s="1">
        <v>448279.999999999</v>
      </c>
      <c r="L538" s="1">
        <v>442346.528984048</v>
      </c>
      <c r="M538" s="1">
        <v>3600.06868529319</v>
      </c>
      <c r="N538" s="1">
        <v>117163.0</v>
      </c>
      <c r="O538" s="5">
        <f t="shared" si="52"/>
        <v>1.323608239</v>
      </c>
      <c r="Q538" s="1">
        <v>368360.258481171</v>
      </c>
      <c r="S538" s="1">
        <v>185.115067958831</v>
      </c>
      <c r="U538" s="1">
        <v>100087.915321419</v>
      </c>
      <c r="V538" s="1">
        <v>11.3247928619384</v>
      </c>
      <c r="X538" s="1">
        <v>360235.842952298</v>
      </c>
      <c r="Y538" s="1">
        <v>28.9165015220642</v>
      </c>
      <c r="Z538" s="1"/>
    </row>
    <row r="539">
      <c r="D539" s="1" t="s">
        <v>22</v>
      </c>
      <c r="E539" s="1">
        <v>100.0</v>
      </c>
      <c r="F539" s="1">
        <v>20.0</v>
      </c>
      <c r="H539" s="1">
        <v>388485.608525842</v>
      </c>
      <c r="I539" s="1">
        <v>10.9341542720794</v>
      </c>
      <c r="J539" s="1">
        <v>623395.0</v>
      </c>
      <c r="K539" s="1">
        <v>499052.0</v>
      </c>
      <c r="L539" s="1">
        <v>483761.670032524</v>
      </c>
      <c r="M539" s="1">
        <v>3600.01482582092</v>
      </c>
      <c r="N539" s="1">
        <v>118133.0</v>
      </c>
      <c r="O539" s="5">
        <f t="shared" si="52"/>
        <v>3.063875101</v>
      </c>
      <c r="Q539" s="1">
        <v>388750.476652484</v>
      </c>
      <c r="S539" s="1">
        <v>138.153595209121</v>
      </c>
      <c r="U539" s="1">
        <v>102943.00012501</v>
      </c>
      <c r="V539" s="1">
        <v>13.2596750259399</v>
      </c>
      <c r="X539" s="1">
        <v>384288.091686008</v>
      </c>
      <c r="Y539" s="1">
        <v>37.9173588752746</v>
      </c>
      <c r="Z539" s="1"/>
    </row>
    <row r="540">
      <c r="D540" s="1" t="s">
        <v>23</v>
      </c>
      <c r="E540" s="1">
        <v>100.0</v>
      </c>
      <c r="F540" s="1">
        <v>20.0</v>
      </c>
      <c r="H540" s="1">
        <v>395275.728780465</v>
      </c>
      <c r="I540" s="1">
        <v>10.9599599838256</v>
      </c>
      <c r="J540" s="1">
        <v>627907.999999999</v>
      </c>
      <c r="K540" s="1">
        <v>504996.999999999</v>
      </c>
      <c r="L540" s="1">
        <v>492674.248307645</v>
      </c>
      <c r="M540" s="1">
        <v>3600.0108654499</v>
      </c>
      <c r="N540" s="1">
        <v>116509.0</v>
      </c>
      <c r="O540" s="5">
        <f t="shared" si="52"/>
        <v>2.440163346</v>
      </c>
      <c r="Q540" s="1">
        <v>395526.983727627</v>
      </c>
      <c r="S540" s="1">
        <v>149.355432033538</v>
      </c>
      <c r="U540" s="1">
        <v>102664.997625325</v>
      </c>
      <c r="V540" s="1">
        <v>11.4951148033142</v>
      </c>
      <c r="X540" s="1">
        <v>391908.918992748</v>
      </c>
      <c r="Y540" s="1">
        <v>38.18199801445</v>
      </c>
      <c r="Z540" s="1"/>
    </row>
    <row r="541">
      <c r="D541" s="1" t="s">
        <v>24</v>
      </c>
      <c r="E541" s="1">
        <v>100.0</v>
      </c>
      <c r="F541" s="1">
        <v>20.0</v>
      </c>
      <c r="H541" s="1">
        <v>385732.689741876</v>
      </c>
      <c r="I541" s="1">
        <v>11.0239942073822</v>
      </c>
      <c r="J541" s="1">
        <v>474424.0</v>
      </c>
      <c r="K541" s="1">
        <v>463587.0</v>
      </c>
      <c r="L541" s="1">
        <v>463587.0</v>
      </c>
      <c r="M541" s="1">
        <v>2089.65518569946</v>
      </c>
      <c r="N541" s="1">
        <v>87947.0</v>
      </c>
      <c r="O541" s="5">
        <f t="shared" si="52"/>
        <v>0</v>
      </c>
      <c r="Q541" s="1">
        <v>386007.059193291</v>
      </c>
      <c r="S541" s="1">
        <v>165.555091619491</v>
      </c>
      <c r="U541" s="1">
        <v>102187.947160435</v>
      </c>
      <c r="V541" s="1">
        <v>26.9164967536926</v>
      </c>
      <c r="X541" s="1">
        <v>382634.900274851</v>
      </c>
      <c r="Y541" s="1">
        <v>51.7528643608093</v>
      </c>
      <c r="Z541" s="1"/>
    </row>
    <row r="542">
      <c r="D542" s="1" t="s">
        <v>25</v>
      </c>
      <c r="E542" s="1">
        <v>100.0</v>
      </c>
      <c r="F542" s="1">
        <v>20.0</v>
      </c>
      <c r="H542" s="1">
        <v>402975.533650642</v>
      </c>
      <c r="I542" s="1">
        <v>10.9473142623901</v>
      </c>
      <c r="J542" s="1">
        <v>556016.0</v>
      </c>
      <c r="K542" s="1">
        <v>478599.0</v>
      </c>
      <c r="L542" s="1">
        <v>478599.0</v>
      </c>
      <c r="M542" s="1">
        <v>1221.61279821395</v>
      </c>
      <c r="N542" s="1">
        <v>55985.0</v>
      </c>
      <c r="O542" s="5">
        <f t="shared" si="52"/>
        <v>0</v>
      </c>
      <c r="Q542" s="1">
        <v>403295.410910948</v>
      </c>
      <c r="S542" s="1">
        <v>182.121352195739</v>
      </c>
      <c r="U542" s="1">
        <v>104435.006467883</v>
      </c>
      <c r="V542" s="1">
        <v>11.9825282096862</v>
      </c>
      <c r="X542" s="1">
        <v>399341.661686314</v>
      </c>
      <c r="Y542" s="1">
        <v>62.3506169319152</v>
      </c>
      <c r="Z542" s="1"/>
    </row>
    <row r="543">
      <c r="D543" s="1" t="s">
        <v>26</v>
      </c>
      <c r="E543" s="1">
        <v>100.0</v>
      </c>
      <c r="F543" s="1">
        <v>20.0</v>
      </c>
      <c r="H543" s="1">
        <v>389305.511852811</v>
      </c>
      <c r="I543" s="1">
        <v>11.0034708976745</v>
      </c>
      <c r="J543" s="1">
        <v>529957.0</v>
      </c>
      <c r="K543" s="1">
        <v>455052.0</v>
      </c>
      <c r="L543" s="1">
        <v>455052.0</v>
      </c>
      <c r="M543" s="1">
        <v>1426.52992200851</v>
      </c>
      <c r="N543" s="1">
        <v>63895.0</v>
      </c>
      <c r="O543" s="5">
        <f t="shared" si="52"/>
        <v>0</v>
      </c>
      <c r="Q543" s="1">
        <v>389558.341599243</v>
      </c>
      <c r="S543" s="1">
        <v>158.307538032531</v>
      </c>
      <c r="U543" s="1">
        <v>104041.441717419</v>
      </c>
      <c r="V543" s="1">
        <v>14.259505033493</v>
      </c>
      <c r="X543" s="1">
        <v>384441.445439595</v>
      </c>
      <c r="Y543" s="1">
        <v>44.8538045883178</v>
      </c>
      <c r="Z543" s="1"/>
    </row>
    <row r="544">
      <c r="D544" s="1" t="s">
        <v>27</v>
      </c>
      <c r="E544" s="1">
        <v>100.0</v>
      </c>
      <c r="F544" s="1">
        <v>20.0</v>
      </c>
      <c r="H544" s="1">
        <v>388033.303575103</v>
      </c>
      <c r="I544" s="1">
        <v>11.0050933361053</v>
      </c>
      <c r="J544" s="1">
        <v>588423.0</v>
      </c>
      <c r="K544" s="1">
        <v>471445.0</v>
      </c>
      <c r="L544" s="1">
        <v>471110.104712031</v>
      </c>
      <c r="M544" s="1">
        <v>3602.42877030372</v>
      </c>
      <c r="N544" s="1">
        <v>136451.0</v>
      </c>
      <c r="O544" s="5">
        <f t="shared" si="52"/>
        <v>0.07103591892</v>
      </c>
      <c r="Q544" s="1">
        <v>388276.651252119</v>
      </c>
      <c r="S544" s="1">
        <v>122.644092321395</v>
      </c>
      <c r="U544" s="1">
        <v>100495.153269865</v>
      </c>
      <c r="V544" s="1">
        <v>11.2682390213012</v>
      </c>
      <c r="X544" s="1" t="s">
        <v>46</v>
      </c>
      <c r="Y544" s="1">
        <v>9.00008797645568</v>
      </c>
      <c r="Z544" s="1"/>
    </row>
    <row r="545">
      <c r="D545" s="1" t="s">
        <v>28</v>
      </c>
      <c r="E545" s="1">
        <v>100.0</v>
      </c>
      <c r="F545" s="1">
        <v>20.0</v>
      </c>
      <c r="H545" s="1">
        <v>369647.073601003</v>
      </c>
      <c r="I545" s="1">
        <v>11.0483939647674</v>
      </c>
      <c r="J545" s="1">
        <v>569400.999999999</v>
      </c>
      <c r="K545" s="1">
        <v>465874.0</v>
      </c>
      <c r="L545" s="1">
        <v>454624.027752233</v>
      </c>
      <c r="M545" s="1">
        <v>3600.01579213142</v>
      </c>
      <c r="N545" s="1">
        <v>115153.0</v>
      </c>
      <c r="O545" s="5">
        <f t="shared" si="52"/>
        <v>2.414810066</v>
      </c>
      <c r="Q545" s="1">
        <v>369909.521286282</v>
      </c>
      <c r="S545" s="1">
        <v>175.900277137756</v>
      </c>
      <c r="U545" s="1">
        <v>101867.759692611</v>
      </c>
      <c r="V545" s="1">
        <v>12.7345283031463</v>
      </c>
      <c r="X545" s="1">
        <v>366894.858822579</v>
      </c>
      <c r="Y545" s="1">
        <v>35.7963275909423</v>
      </c>
      <c r="Z545" s="1"/>
    </row>
    <row r="546">
      <c r="D546" s="1" t="s">
        <v>29</v>
      </c>
      <c r="E546" s="1">
        <v>100.0</v>
      </c>
      <c r="F546" s="1">
        <v>20.0</v>
      </c>
      <c r="H546" s="1">
        <v>378747.551502902</v>
      </c>
      <c r="I546" s="1">
        <v>11.0395188331604</v>
      </c>
      <c r="J546" s="1">
        <v>576453.0</v>
      </c>
      <c r="K546" s="1">
        <v>468084.0</v>
      </c>
      <c r="L546" s="1">
        <v>465727.550152632</v>
      </c>
      <c r="M546" s="1">
        <v>3600.02701067924</v>
      </c>
      <c r="N546" s="1">
        <v>125797.0</v>
      </c>
      <c r="O546" s="5">
        <f t="shared" si="52"/>
        <v>0.5034245664</v>
      </c>
      <c r="Q546" s="1">
        <v>379039.905403017</v>
      </c>
      <c r="S546" s="1">
        <v>183.873960971832</v>
      </c>
      <c r="U546" s="1">
        <v>102167.042775846</v>
      </c>
      <c r="V546" s="1">
        <v>13.1643524169921</v>
      </c>
      <c r="X546" s="1">
        <v>374449.753518704</v>
      </c>
      <c r="Y546" s="1">
        <v>43.2681910991668</v>
      </c>
      <c r="Z546" s="1"/>
    </row>
    <row r="547">
      <c r="D547" s="1" t="s">
        <v>30</v>
      </c>
      <c r="E547" s="1">
        <v>100.0</v>
      </c>
      <c r="F547" s="1">
        <v>20.0</v>
      </c>
      <c r="H547" s="1">
        <v>397098.20524674</v>
      </c>
      <c r="I547" s="1">
        <v>11.0991339683532</v>
      </c>
      <c r="J547" s="1">
        <v>647309.0</v>
      </c>
      <c r="K547" s="1">
        <v>511025.0</v>
      </c>
      <c r="L547" s="1">
        <v>492305.590811591</v>
      </c>
      <c r="M547" s="1">
        <v>3600.06882834434</v>
      </c>
      <c r="N547" s="1">
        <v>114567.0</v>
      </c>
      <c r="O547" s="5">
        <f t="shared" si="52"/>
        <v>3.663110257</v>
      </c>
      <c r="Q547" s="1">
        <v>397382.764385378</v>
      </c>
      <c r="S547" s="1">
        <v>185.360478639602</v>
      </c>
      <c r="U547" s="1">
        <v>101070.530966487</v>
      </c>
      <c r="V547" s="1">
        <v>10.3294997215271</v>
      </c>
      <c r="X547" s="1">
        <v>393706.508070351</v>
      </c>
      <c r="Y547" s="1">
        <v>45.9863691329956</v>
      </c>
      <c r="Z547" s="1"/>
    </row>
    <row r="548">
      <c r="D548" s="1" t="s">
        <v>31</v>
      </c>
      <c r="E548" s="1">
        <v>100.0</v>
      </c>
      <c r="F548" s="1">
        <v>20.0</v>
      </c>
      <c r="H548" s="1">
        <v>378238.925896878</v>
      </c>
      <c r="I548" s="1">
        <v>11.1382038593292</v>
      </c>
      <c r="J548" s="1">
        <v>510623.0</v>
      </c>
      <c r="K548" s="1">
        <v>475072.0</v>
      </c>
      <c r="L548" s="1">
        <v>475072.0</v>
      </c>
      <c r="M548" s="1">
        <v>1431.72825098037</v>
      </c>
      <c r="N548" s="1">
        <v>67673.0</v>
      </c>
      <c r="O548" s="5">
        <f t="shared" si="52"/>
        <v>0</v>
      </c>
      <c r="Q548" s="1">
        <v>378461.869666743</v>
      </c>
      <c r="S548" s="1">
        <v>99.2917053699493</v>
      </c>
      <c r="U548" s="1">
        <v>101427.999526514</v>
      </c>
      <c r="V548" s="1">
        <v>14.0080776214599</v>
      </c>
      <c r="X548" s="1">
        <v>374640.989257108</v>
      </c>
      <c r="Y548" s="1">
        <v>30.5741457939147</v>
      </c>
      <c r="Z548" s="1"/>
    </row>
    <row r="549">
      <c r="D549" s="1" t="s">
        <v>32</v>
      </c>
      <c r="E549" s="1">
        <v>100.0</v>
      </c>
      <c r="F549" s="1">
        <v>20.0</v>
      </c>
      <c r="H549" s="1">
        <v>382066.412277987</v>
      </c>
      <c r="I549" s="1">
        <v>11.1041495800018</v>
      </c>
      <c r="J549" s="1">
        <v>518498.0</v>
      </c>
      <c r="K549" s="1">
        <v>467577.0</v>
      </c>
      <c r="L549" s="1">
        <v>459800.223140024</v>
      </c>
      <c r="M549" s="1">
        <v>3600.0318493843</v>
      </c>
      <c r="N549" s="1">
        <v>120573.0</v>
      </c>
      <c r="O549" s="5">
        <f t="shared" si="52"/>
        <v>1.663207741</v>
      </c>
      <c r="Q549" s="1">
        <v>382313.179387836</v>
      </c>
      <c r="S549" s="1">
        <v>152.157564163208</v>
      </c>
      <c r="U549" s="1">
        <v>101666.001475258</v>
      </c>
      <c r="V549" s="1">
        <v>11.8520679473876</v>
      </c>
      <c r="X549" s="1">
        <v>377300.575165747</v>
      </c>
      <c r="Y549" s="1">
        <v>32.6213769912719</v>
      </c>
      <c r="Z549" s="1"/>
    </row>
    <row r="550">
      <c r="D550" s="1" t="s">
        <v>33</v>
      </c>
      <c r="E550" s="1">
        <v>100.0</v>
      </c>
      <c r="F550" s="1">
        <v>20.0</v>
      </c>
      <c r="H550" s="1">
        <v>402798.403985839</v>
      </c>
      <c r="I550" s="1">
        <v>11.0467584133148</v>
      </c>
      <c r="J550" s="1">
        <v>621854.0</v>
      </c>
      <c r="K550" s="1">
        <v>510888.0</v>
      </c>
      <c r="L550" s="1">
        <v>498967.244032683</v>
      </c>
      <c r="M550" s="1">
        <v>3600.01212024688</v>
      </c>
      <c r="N550" s="1">
        <v>115385.0</v>
      </c>
      <c r="O550" s="5">
        <f t="shared" si="52"/>
        <v>2.333340373</v>
      </c>
      <c r="Q550" s="1">
        <v>403094.23801782</v>
      </c>
      <c r="S550" s="1">
        <v>123.342725753784</v>
      </c>
      <c r="U550" s="1">
        <v>103732.849067834</v>
      </c>
      <c r="V550" s="1">
        <v>57.5417292118072</v>
      </c>
      <c r="X550" s="1">
        <v>398751.359337297</v>
      </c>
      <c r="Y550" s="1">
        <v>42.506730556488</v>
      </c>
      <c r="Z550" s="1"/>
    </row>
    <row r="551">
      <c r="D551" s="1" t="s">
        <v>34</v>
      </c>
      <c r="E551" s="1">
        <v>100.0</v>
      </c>
      <c r="F551" s="1">
        <v>20.0</v>
      </c>
      <c r="H551" s="1">
        <v>366825.444102701</v>
      </c>
      <c r="I551" s="1">
        <v>11.0725843906402</v>
      </c>
      <c r="J551" s="1">
        <v>523224.0</v>
      </c>
      <c r="K551" s="1">
        <v>483489.0</v>
      </c>
      <c r="L551" s="1">
        <v>465099.788573426</v>
      </c>
      <c r="M551" s="1">
        <v>3600.06119251251</v>
      </c>
      <c r="N551" s="1">
        <v>115559.0</v>
      </c>
      <c r="O551" s="5">
        <f t="shared" si="52"/>
        <v>3.803439463</v>
      </c>
      <c r="Q551" s="1">
        <v>367023.546717822</v>
      </c>
      <c r="S551" s="1">
        <v>158.060532569885</v>
      </c>
      <c r="U551" s="1">
        <v>102392.898767996</v>
      </c>
      <c r="V551" s="1">
        <v>10.5362651348114</v>
      </c>
      <c r="X551" s="1">
        <v>365050.954319574</v>
      </c>
      <c r="Y551" s="1">
        <v>38.4540367126464</v>
      </c>
      <c r="Z551" s="1"/>
    </row>
    <row r="552">
      <c r="D552" s="1" t="s">
        <v>35</v>
      </c>
      <c r="E552" s="1">
        <v>100.0</v>
      </c>
      <c r="F552" s="1">
        <v>20.0</v>
      </c>
      <c r="H552" s="1">
        <v>364469.630750413</v>
      </c>
      <c r="I552" s="1">
        <v>11.0926308631896</v>
      </c>
      <c r="J552" s="1">
        <v>465437.0</v>
      </c>
      <c r="K552" s="1">
        <v>422381.0</v>
      </c>
      <c r="L552" s="1">
        <v>422381.0</v>
      </c>
      <c r="M552" s="1">
        <v>800.338073730468</v>
      </c>
      <c r="N552" s="1">
        <v>38745.0</v>
      </c>
      <c r="O552" s="5">
        <f t="shared" si="52"/>
        <v>0</v>
      </c>
      <c r="Q552" s="1">
        <v>364718.127329798</v>
      </c>
      <c r="S552" s="1">
        <v>105.738923311233</v>
      </c>
      <c r="U552" s="1">
        <v>99334.0253584124</v>
      </c>
      <c r="V552" s="1">
        <v>12.2130532264709</v>
      </c>
      <c r="X552" s="1">
        <v>358699.389069273</v>
      </c>
      <c r="Y552" s="1">
        <v>27.1652343273162</v>
      </c>
      <c r="Z552" s="1"/>
    </row>
    <row r="553">
      <c r="D553" s="1" t="s">
        <v>36</v>
      </c>
      <c r="E553" s="1">
        <v>100.0</v>
      </c>
      <c r="F553" s="1">
        <v>20.0</v>
      </c>
      <c r="H553" s="1">
        <v>386169.979151335</v>
      </c>
      <c r="I553" s="1">
        <v>11.0686304569244</v>
      </c>
      <c r="J553" s="1">
        <v>502497.0</v>
      </c>
      <c r="K553" s="1">
        <v>439261.999999999</v>
      </c>
      <c r="L553" s="1">
        <v>439261.999999999</v>
      </c>
      <c r="M553" s="1">
        <v>131.660147428512</v>
      </c>
      <c r="N553" s="1">
        <v>6867.0</v>
      </c>
      <c r="O553" s="5">
        <f t="shared" si="52"/>
        <v>0</v>
      </c>
      <c r="Q553" s="1">
        <v>386441.813411796</v>
      </c>
      <c r="S553" s="1">
        <v>155.346942901611</v>
      </c>
      <c r="U553" s="1">
        <v>103301.687315139</v>
      </c>
      <c r="V553" s="1">
        <v>11.1766705513</v>
      </c>
      <c r="X553" s="1">
        <v>381232.722284468</v>
      </c>
      <c r="Y553" s="1">
        <v>48.8881182670593</v>
      </c>
      <c r="Z553" s="1"/>
    </row>
    <row r="554">
      <c r="D554" s="1" t="s">
        <v>37</v>
      </c>
      <c r="E554" s="1">
        <v>100.0</v>
      </c>
      <c r="F554" s="1">
        <v>20.0</v>
      </c>
      <c r="H554" s="1">
        <v>397227.032943069</v>
      </c>
      <c r="I554" s="1">
        <v>11.0692603588104</v>
      </c>
      <c r="J554" s="1">
        <v>497433.0</v>
      </c>
      <c r="K554" s="1">
        <v>443548.999999999</v>
      </c>
      <c r="L554" s="1">
        <v>443548.999999999</v>
      </c>
      <c r="M554" s="1">
        <v>71.7686686515808</v>
      </c>
      <c r="N554" s="1">
        <v>3383.0</v>
      </c>
      <c r="O554" s="5">
        <f t="shared" si="52"/>
        <v>0</v>
      </c>
      <c r="Q554" s="1">
        <v>397541.901043763</v>
      </c>
      <c r="S554" s="1">
        <v>164.083227872848</v>
      </c>
      <c r="U554" s="1">
        <v>103232.497572653</v>
      </c>
      <c r="V554" s="1">
        <v>42.7086672782897</v>
      </c>
      <c r="X554" s="1">
        <v>390463.597666631</v>
      </c>
      <c r="Y554" s="1">
        <v>29.9943499565124</v>
      </c>
      <c r="Z554" s="1"/>
    </row>
    <row r="555">
      <c r="D555" s="1" t="s">
        <v>38</v>
      </c>
      <c r="E555" s="1">
        <v>100.0</v>
      </c>
      <c r="F555" s="1">
        <v>20.0</v>
      </c>
      <c r="H555" s="1">
        <v>377593.843409209</v>
      </c>
      <c r="I555" s="1">
        <v>11.0413517951965</v>
      </c>
      <c r="J555" s="1">
        <v>492574.0</v>
      </c>
      <c r="K555" s="1">
        <v>451890.999999999</v>
      </c>
      <c r="L555" s="1">
        <v>449608.843596529</v>
      </c>
      <c r="M555" s="1">
        <v>3600.05269050598</v>
      </c>
      <c r="N555" s="1">
        <v>125723.0</v>
      </c>
      <c r="O555" s="5">
        <f t="shared" si="52"/>
        <v>0.5050236459</v>
      </c>
      <c r="Q555" s="1">
        <v>377874.023004983</v>
      </c>
      <c r="S555" s="1">
        <v>183.595837116241</v>
      </c>
      <c r="U555" s="1">
        <v>103031.168311849</v>
      </c>
      <c r="V555" s="1">
        <v>17.5733728408813</v>
      </c>
      <c r="X555" s="1">
        <v>372227.563287389</v>
      </c>
      <c r="Y555" s="1">
        <v>46.7905869483947</v>
      </c>
      <c r="Z555" s="1"/>
    </row>
    <row r="556">
      <c r="D556" s="1" t="s">
        <v>39</v>
      </c>
      <c r="E556" s="1">
        <v>100.0</v>
      </c>
      <c r="F556" s="1">
        <v>20.0</v>
      </c>
      <c r="H556" s="1">
        <v>382937.264416646</v>
      </c>
      <c r="I556" s="1">
        <v>11.0763866901397</v>
      </c>
      <c r="J556" s="1">
        <v>502414.0</v>
      </c>
      <c r="K556" s="1">
        <v>471402.0</v>
      </c>
      <c r="L556" s="1">
        <v>461140.71450305</v>
      </c>
      <c r="M556" s="1">
        <v>3600.07546377182</v>
      </c>
      <c r="N556" s="1">
        <v>115891.0</v>
      </c>
      <c r="O556" s="5">
        <f t="shared" si="52"/>
        <v>2.176759008</v>
      </c>
      <c r="Q556" s="1">
        <v>383191.40763725</v>
      </c>
      <c r="S556" s="1">
        <v>150.791677951812</v>
      </c>
      <c r="U556" s="1">
        <v>99442.8999327515</v>
      </c>
      <c r="V556" s="1">
        <v>12.5328080654144</v>
      </c>
      <c r="X556" s="1">
        <v>374180.999549583</v>
      </c>
      <c r="Y556" s="1">
        <v>26.1282713413238</v>
      </c>
      <c r="Z556" s="1"/>
    </row>
    <row r="557">
      <c r="D557" s="1" t="s">
        <v>40</v>
      </c>
      <c r="E557" s="1">
        <v>100.0</v>
      </c>
      <c r="F557" s="1">
        <v>20.0</v>
      </c>
      <c r="H557" s="1">
        <v>391728.519701067</v>
      </c>
      <c r="I557" s="1">
        <v>11.0353872776031</v>
      </c>
      <c r="J557" s="1">
        <v>513072.0</v>
      </c>
      <c r="K557" s="1">
        <v>449274.0</v>
      </c>
      <c r="L557" s="1">
        <v>449274.0</v>
      </c>
      <c r="M557" s="1">
        <v>383.526223421096</v>
      </c>
      <c r="N557" s="1">
        <v>18963.0</v>
      </c>
      <c r="O557" s="5">
        <f t="shared" si="52"/>
        <v>0</v>
      </c>
      <c r="Q557" s="1">
        <v>392016.975058269</v>
      </c>
      <c r="S557" s="1">
        <v>139.129073858261</v>
      </c>
      <c r="U557" s="1">
        <v>103398.092623642</v>
      </c>
      <c r="V557" s="1">
        <v>10.6667308807373</v>
      </c>
      <c r="X557" s="1">
        <v>387778.190073503</v>
      </c>
      <c r="Y557" s="1">
        <v>45.7089960575103</v>
      </c>
      <c r="Z557" s="1"/>
    </row>
    <row r="558">
      <c r="D558" s="1" t="s">
        <v>41</v>
      </c>
      <c r="E558" s="1">
        <v>100.0</v>
      </c>
      <c r="F558" s="1">
        <v>20.0</v>
      </c>
      <c r="H558" s="1">
        <v>390390.47986626</v>
      </c>
      <c r="I558" s="1">
        <v>11.0275797843933</v>
      </c>
      <c r="J558" s="1">
        <v>552882.0</v>
      </c>
      <c r="K558" s="1">
        <v>462376.0</v>
      </c>
      <c r="L558" s="1">
        <v>462376.0</v>
      </c>
      <c r="M558" s="1">
        <v>577.086926460266</v>
      </c>
      <c r="N558" s="1">
        <v>27869.0</v>
      </c>
      <c r="O558" s="5">
        <f t="shared" si="52"/>
        <v>0</v>
      </c>
      <c r="Q558" s="1">
        <v>390653.469617021</v>
      </c>
      <c r="S558" s="1">
        <v>124.43801164627</v>
      </c>
      <c r="U558" s="1">
        <v>102234.492177032</v>
      </c>
      <c r="V558" s="1">
        <v>10.3907380104064</v>
      </c>
      <c r="X558" s="1">
        <v>387710.643256952</v>
      </c>
      <c r="Y558" s="1">
        <v>34.0972006320953</v>
      </c>
      <c r="Z558" s="1"/>
    </row>
    <row r="559">
      <c r="D559" s="1" t="s">
        <v>42</v>
      </c>
      <c r="E559" s="1">
        <v>100.0</v>
      </c>
      <c r="F559" s="1">
        <v>20.0</v>
      </c>
      <c r="H559" s="1">
        <v>378043.99428747</v>
      </c>
      <c r="I559" s="1">
        <v>11.0524637699127</v>
      </c>
      <c r="J559" s="1">
        <v>472973.999999999</v>
      </c>
      <c r="K559" s="1">
        <v>440103.0</v>
      </c>
      <c r="L559" s="1">
        <v>440103.0</v>
      </c>
      <c r="M559" s="1">
        <v>1422.74777626991</v>
      </c>
      <c r="N559" s="1">
        <v>62467.0</v>
      </c>
      <c r="O559" s="5">
        <f t="shared" si="52"/>
        <v>0</v>
      </c>
      <c r="Q559" s="1">
        <v>378302.514186759</v>
      </c>
      <c r="S559" s="1">
        <v>123.728896856307</v>
      </c>
      <c r="U559" s="1">
        <v>102528.993483505</v>
      </c>
      <c r="V559" s="1">
        <v>12.5138156414031</v>
      </c>
      <c r="X559" s="1">
        <v>372700.086645914</v>
      </c>
      <c r="Y559" s="1">
        <v>40.9044463634491</v>
      </c>
      <c r="Z559" s="1"/>
    </row>
    <row r="560">
      <c r="D560" s="1" t="s">
        <v>43</v>
      </c>
      <c r="E560" s="1">
        <v>100.0</v>
      </c>
      <c r="F560" s="1">
        <v>20.0</v>
      </c>
      <c r="H560" s="1">
        <v>385764.154831364</v>
      </c>
      <c r="I560" s="1">
        <v>10.9976570606231</v>
      </c>
      <c r="J560" s="1">
        <v>504603.999999999</v>
      </c>
      <c r="K560" s="1">
        <v>476220.0</v>
      </c>
      <c r="L560" s="1">
        <v>469816.271539216</v>
      </c>
      <c r="M560" s="1">
        <v>3601.53707122802</v>
      </c>
      <c r="N560" s="1">
        <v>121213.0</v>
      </c>
      <c r="O560" s="5">
        <f t="shared" si="52"/>
        <v>1.344699605</v>
      </c>
      <c r="Q560" s="1">
        <v>386041.216651929</v>
      </c>
      <c r="S560" s="1">
        <v>117.778875350952</v>
      </c>
      <c r="U560" s="1" t="s">
        <v>46</v>
      </c>
      <c r="V560" s="1">
        <v>9.46561455726623</v>
      </c>
      <c r="X560" s="1" t="s">
        <v>46</v>
      </c>
      <c r="Y560" s="1">
        <v>8.83693099021911</v>
      </c>
      <c r="Z560" s="1"/>
    </row>
    <row r="561">
      <c r="D561" s="1" t="s">
        <v>44</v>
      </c>
      <c r="E561" s="1">
        <v>100.0</v>
      </c>
      <c r="F561" s="1">
        <v>20.0</v>
      </c>
      <c r="H561" s="1">
        <v>383862.962470603</v>
      </c>
      <c r="I561" s="1">
        <v>10.9945812225341</v>
      </c>
      <c r="J561" s="1">
        <v>527888.0</v>
      </c>
      <c r="K561" s="1">
        <v>452383.0</v>
      </c>
      <c r="L561" s="1">
        <v>452383.0</v>
      </c>
      <c r="M561" s="1">
        <v>638.577774047851</v>
      </c>
      <c r="N561" s="1">
        <v>31285.0</v>
      </c>
      <c r="O561" s="5">
        <f t="shared" si="52"/>
        <v>0</v>
      </c>
      <c r="Q561" s="1">
        <v>384125.861087558</v>
      </c>
      <c r="S561" s="1">
        <v>139.2242166996</v>
      </c>
      <c r="U561" s="1">
        <v>102774.951092735</v>
      </c>
      <c r="V561" s="1">
        <v>80.4783055782318</v>
      </c>
      <c r="X561" s="1">
        <v>379349.985745235</v>
      </c>
      <c r="Y561" s="1">
        <v>34.1339702606201</v>
      </c>
      <c r="Z561" s="1"/>
    </row>
    <row r="562">
      <c r="D562" s="1" t="s">
        <v>45</v>
      </c>
      <c r="E562" s="1">
        <v>100.0</v>
      </c>
      <c r="F562" s="1">
        <v>20.0</v>
      </c>
      <c r="H562" s="1">
        <v>381405.649700486</v>
      </c>
      <c r="I562" s="1">
        <v>11.0647113323211</v>
      </c>
      <c r="J562" s="1">
        <v>566801.999999999</v>
      </c>
      <c r="K562" s="1">
        <v>464345.999999999</v>
      </c>
      <c r="L562" s="1">
        <v>463474.27568608</v>
      </c>
      <c r="M562" s="1">
        <v>3600.01531219482</v>
      </c>
      <c r="N562" s="1">
        <v>114283.0</v>
      </c>
      <c r="O562" s="5">
        <f t="shared" si="52"/>
        <v>0.1877316298</v>
      </c>
      <c r="Q562" s="1">
        <v>381654.957352595</v>
      </c>
      <c r="S562" s="1">
        <v>133.87511229515</v>
      </c>
      <c r="U562" s="1">
        <v>105642.007444807</v>
      </c>
      <c r="V562" s="1">
        <v>10.8546550273895</v>
      </c>
      <c r="X562" s="1">
        <v>376811.781648761</v>
      </c>
      <c r="Y562" s="1">
        <v>34.6592552661895</v>
      </c>
      <c r="Z562" s="1"/>
    </row>
    <row r="563">
      <c r="D563" s="1"/>
      <c r="E563" s="6">
        <f t="shared" ref="E563:F563" si="53">AVERAGE(E533:E562)</f>
        <v>100</v>
      </c>
      <c r="F563" s="6">
        <f t="shared" si="53"/>
        <v>20</v>
      </c>
      <c r="H563" s="6">
        <f t="shared" ref="H563:O563" si="54">AVERAGE(H533:H562)</f>
        <v>383471.839</v>
      </c>
      <c r="I563" s="6">
        <f t="shared" si="54"/>
        <v>11.02269897</v>
      </c>
      <c r="J563" s="6">
        <f t="shared" si="54"/>
        <v>537361.8333</v>
      </c>
      <c r="K563" s="6">
        <f t="shared" si="54"/>
        <v>467265.6</v>
      </c>
      <c r="L563" s="6">
        <f t="shared" si="54"/>
        <v>462268.5758</v>
      </c>
      <c r="M563" s="6">
        <f t="shared" si="54"/>
        <v>2545.153461</v>
      </c>
      <c r="N563" s="6">
        <f t="shared" si="54"/>
        <v>89466.06667</v>
      </c>
      <c r="O563" s="6">
        <f t="shared" si="54"/>
        <v>1.029161861</v>
      </c>
      <c r="Q563" s="6">
        <f>AVERAGE(Q533:Q562)</f>
        <v>383734.6393</v>
      </c>
      <c r="S563" s="6">
        <f>AVERAGE(S533:S562)</f>
        <v>146.6314079</v>
      </c>
    </row>
    <row r="564">
      <c r="D564" s="1" t="s">
        <v>16</v>
      </c>
      <c r="E564" s="1">
        <v>100.0</v>
      </c>
      <c r="F564" s="1">
        <v>25.0</v>
      </c>
      <c r="H564" s="1">
        <v>565240.264150611</v>
      </c>
      <c r="I564" s="1">
        <v>11.1423797607421</v>
      </c>
      <c r="J564" s="1">
        <v>658769.0</v>
      </c>
      <c r="K564" s="1">
        <v>645150.0</v>
      </c>
      <c r="L564" s="1">
        <v>637096.377002203</v>
      </c>
      <c r="M564" s="1">
        <v>3600.00946521759</v>
      </c>
      <c r="N564" s="1">
        <v>121145.0</v>
      </c>
      <c r="O564" s="5">
        <f t="shared" ref="O564:O593" si="55">100*(K564-L564)/K564</f>
        <v>1.24833341</v>
      </c>
      <c r="Q564" s="1">
        <v>565492.163774896</v>
      </c>
      <c r="S564" s="1">
        <v>152.386741638183</v>
      </c>
      <c r="U564" s="1">
        <v>108792.228995485</v>
      </c>
      <c r="V564" s="1">
        <v>10.8319149017333</v>
      </c>
      <c r="X564" s="1">
        <v>557175.893896755</v>
      </c>
      <c r="Y564" s="1">
        <v>34.5138647556304</v>
      </c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D565" s="1" t="s">
        <v>17</v>
      </c>
      <c r="E565" s="1">
        <v>100.0</v>
      </c>
      <c r="F565" s="1">
        <v>25.0</v>
      </c>
      <c r="H565" s="1">
        <v>612948.063159418</v>
      </c>
      <c r="I565" s="1">
        <v>11.1131930351257</v>
      </c>
      <c r="J565" s="1">
        <v>891335.0</v>
      </c>
      <c r="K565" s="1">
        <v>705009.0</v>
      </c>
      <c r="L565" s="1">
        <v>705009.0</v>
      </c>
      <c r="M565" s="1">
        <v>896.075502395629</v>
      </c>
      <c r="N565" s="1">
        <v>45303.0</v>
      </c>
      <c r="O565" s="5">
        <f t="shared" si="55"/>
        <v>0</v>
      </c>
      <c r="Q565" s="1">
        <v>613299.255013105</v>
      </c>
      <c r="S565" s="1">
        <v>156.455203056335</v>
      </c>
      <c r="U565" s="1" t="s">
        <v>46</v>
      </c>
      <c r="V565" s="1">
        <v>9.18748259544372</v>
      </c>
      <c r="X565" s="1" t="s">
        <v>46</v>
      </c>
      <c r="Y565" s="1">
        <v>8.89525890350341</v>
      </c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D566" s="1" t="s">
        <v>18</v>
      </c>
      <c r="E566" s="1">
        <v>100.0</v>
      </c>
      <c r="F566" s="1">
        <v>25.0</v>
      </c>
      <c r="H566" s="1">
        <v>574401.13524888</v>
      </c>
      <c r="I566" s="1">
        <v>11.1112372875213</v>
      </c>
      <c r="J566" s="1">
        <v>648592.0</v>
      </c>
      <c r="K566" s="1">
        <v>643128.999999999</v>
      </c>
      <c r="L566" s="1">
        <v>643128.999999999</v>
      </c>
      <c r="M566" s="1">
        <v>476.772055625915</v>
      </c>
      <c r="N566" s="1">
        <v>26653.0</v>
      </c>
      <c r="O566" s="5">
        <f t="shared" si="55"/>
        <v>0</v>
      </c>
      <c r="Q566" s="1">
        <v>574717.345655705</v>
      </c>
      <c r="S566" s="1">
        <v>139.324658155441</v>
      </c>
      <c r="U566" s="1">
        <v>109476.335391694</v>
      </c>
      <c r="V566" s="1">
        <v>50.3561480045318</v>
      </c>
      <c r="X566" s="1">
        <v>569716.536556416</v>
      </c>
      <c r="Y566" s="1">
        <v>33.3524250984191</v>
      </c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D567" s="1" t="s">
        <v>19</v>
      </c>
      <c r="E567" s="1">
        <v>100.0</v>
      </c>
      <c r="F567" s="1">
        <v>25.0</v>
      </c>
      <c r="H567" s="1">
        <v>612049.215079398</v>
      </c>
      <c r="I567" s="1">
        <v>11.1704809665679</v>
      </c>
      <c r="J567" s="1">
        <v>796889.0</v>
      </c>
      <c r="K567" s="1">
        <v>710603.0</v>
      </c>
      <c r="L567" s="1">
        <v>708538.107149009</v>
      </c>
      <c r="M567" s="1">
        <v>3600.02333927154</v>
      </c>
      <c r="N567" s="1">
        <v>133629.0</v>
      </c>
      <c r="O567" s="5">
        <f t="shared" si="55"/>
        <v>0.2905831879</v>
      </c>
      <c r="Q567" s="1">
        <v>612457.742606996</v>
      </c>
      <c r="S567" s="1">
        <v>184.105168104171</v>
      </c>
      <c r="U567" s="1">
        <v>110598.948853985</v>
      </c>
      <c r="V567" s="1">
        <v>14.4893555641174</v>
      </c>
      <c r="X567" s="1">
        <v>607761.595678964</v>
      </c>
      <c r="Y567" s="1">
        <v>41.4966549873352</v>
      </c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D568" s="1" t="s">
        <v>20</v>
      </c>
      <c r="E568" s="1">
        <v>100.0</v>
      </c>
      <c r="F568" s="1">
        <v>25.0</v>
      </c>
      <c r="H568" s="1">
        <v>624372.308622728</v>
      </c>
      <c r="I568" s="1">
        <v>11.1546196937561</v>
      </c>
      <c r="J568" s="1">
        <v>802040.0</v>
      </c>
      <c r="K568" s="1">
        <v>699254.0</v>
      </c>
      <c r="L568" s="1">
        <v>699254.0</v>
      </c>
      <c r="M568" s="1">
        <v>1628.19168496131</v>
      </c>
      <c r="N568" s="1">
        <v>69601.0</v>
      </c>
      <c r="O568" s="5">
        <f t="shared" si="55"/>
        <v>0</v>
      </c>
      <c r="Q568" s="1">
        <v>624771.202509792</v>
      </c>
      <c r="S568" s="1">
        <v>115.262722969055</v>
      </c>
      <c r="U568" s="1">
        <v>113642.082699331</v>
      </c>
      <c r="V568" s="1">
        <v>12.0362186431884</v>
      </c>
      <c r="X568" s="1">
        <v>612648.782548206</v>
      </c>
      <c r="Y568" s="1">
        <v>59.660766839981</v>
      </c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D569" s="1" t="s">
        <v>21</v>
      </c>
      <c r="E569" s="1">
        <v>100.0</v>
      </c>
      <c r="F569" s="1">
        <v>25.0</v>
      </c>
      <c r="H569" s="1">
        <v>566320.808174508</v>
      </c>
      <c r="I569" s="1">
        <v>11.1173944473266</v>
      </c>
      <c r="J569" s="1">
        <v>642837.0</v>
      </c>
      <c r="K569" s="1">
        <v>630282.0</v>
      </c>
      <c r="L569" s="1">
        <v>630282.0</v>
      </c>
      <c r="M569" s="1">
        <v>1178.3803050518</v>
      </c>
      <c r="N569" s="1">
        <v>58035.0</v>
      </c>
      <c r="O569" s="5">
        <f t="shared" si="55"/>
        <v>0</v>
      </c>
      <c r="Q569" s="1">
        <v>566664.967873996</v>
      </c>
      <c r="S569" s="1">
        <v>169.457582950592</v>
      </c>
      <c r="U569" s="1">
        <v>108312.913517657</v>
      </c>
      <c r="V569" s="1">
        <v>12.6249225139617</v>
      </c>
      <c r="X569" s="1">
        <v>555711.592060379</v>
      </c>
      <c r="Y569" s="1">
        <v>45.3576412200927</v>
      </c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D570" s="1" t="s">
        <v>22</v>
      </c>
      <c r="E570" s="1">
        <v>100.0</v>
      </c>
      <c r="F570" s="1">
        <v>25.0</v>
      </c>
      <c r="H570" s="1">
        <v>607826.038028414</v>
      </c>
      <c r="I570" s="1">
        <v>11.1465396881103</v>
      </c>
      <c r="J570" s="1">
        <v>768019.999999999</v>
      </c>
      <c r="K570" s="1">
        <v>717326.0</v>
      </c>
      <c r="L570" s="1">
        <v>714171.610421381</v>
      </c>
      <c r="M570" s="1">
        <v>3600.00449109077</v>
      </c>
      <c r="N570" s="1">
        <v>133475.0</v>
      </c>
      <c r="O570" s="5">
        <f t="shared" si="55"/>
        <v>0.4397428197</v>
      </c>
      <c r="Q570" s="1">
        <v>608039.244895651</v>
      </c>
      <c r="S570" s="1">
        <v>91.5366489887237</v>
      </c>
      <c r="U570" s="1">
        <v>110891.984174875</v>
      </c>
      <c r="V570" s="1">
        <v>14.6765806674957</v>
      </c>
      <c r="X570" s="1">
        <v>605482.402322025</v>
      </c>
      <c r="Y570" s="1">
        <v>46.4276096820831</v>
      </c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D571" s="1" t="s">
        <v>23</v>
      </c>
      <c r="E571" s="1">
        <v>100.0</v>
      </c>
      <c r="F571" s="1">
        <v>25.0</v>
      </c>
      <c r="H571" s="1">
        <v>634074.779325288</v>
      </c>
      <c r="I571" s="1">
        <v>11.1842410564422</v>
      </c>
      <c r="J571" s="1">
        <v>937515.999999999</v>
      </c>
      <c r="K571" s="1">
        <v>733349.999999999</v>
      </c>
      <c r="L571" s="1">
        <v>733349.999999999</v>
      </c>
      <c r="M571" s="1">
        <v>2362.65638065338</v>
      </c>
      <c r="N571" s="1">
        <v>96769.0</v>
      </c>
      <c r="O571" s="5">
        <f t="shared" si="55"/>
        <v>0</v>
      </c>
      <c r="Q571" s="1">
        <v>634417.501766949</v>
      </c>
      <c r="S571" s="1">
        <v>117.903574943542</v>
      </c>
      <c r="U571" s="1">
        <v>109288.558016365</v>
      </c>
      <c r="V571" s="1">
        <v>10.9636352062225</v>
      </c>
      <c r="X571" s="1">
        <v>622894.272277635</v>
      </c>
      <c r="Y571" s="1">
        <v>32.3501055240631</v>
      </c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D572" s="1" t="s">
        <v>24</v>
      </c>
      <c r="E572" s="1">
        <v>100.0</v>
      </c>
      <c r="F572" s="1">
        <v>25.0</v>
      </c>
      <c r="H572" s="1">
        <v>609374.020461969</v>
      </c>
      <c r="I572" s="1">
        <v>11.1208539009094</v>
      </c>
      <c r="J572" s="1">
        <v>670990.0</v>
      </c>
      <c r="K572" s="1">
        <v>667723.0</v>
      </c>
      <c r="L572" s="1">
        <v>667723.0</v>
      </c>
      <c r="M572" s="1">
        <v>270.050689458847</v>
      </c>
      <c r="N572" s="1">
        <v>15799.0</v>
      </c>
      <c r="O572" s="5">
        <f t="shared" si="55"/>
        <v>0</v>
      </c>
      <c r="Q572" s="1">
        <v>609746.583019394</v>
      </c>
      <c r="S572" s="1">
        <v>153.4038336277</v>
      </c>
      <c r="U572" s="1">
        <v>110023.84525118</v>
      </c>
      <c r="V572" s="1">
        <v>11.880868434906</v>
      </c>
      <c r="X572" s="1">
        <v>600497.787715997</v>
      </c>
      <c r="Y572" s="1">
        <v>61.3099360466003</v>
      </c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D573" s="1" t="s">
        <v>25</v>
      </c>
      <c r="E573" s="1">
        <v>100.0</v>
      </c>
      <c r="F573" s="1">
        <v>25.0</v>
      </c>
      <c r="H573" s="1">
        <v>633143.0070733</v>
      </c>
      <c r="I573" s="1">
        <v>11.1248683929443</v>
      </c>
      <c r="J573" s="1">
        <v>783297.0</v>
      </c>
      <c r="K573" s="1">
        <v>701428.999999999</v>
      </c>
      <c r="L573" s="1">
        <v>701428.999999999</v>
      </c>
      <c r="M573" s="1">
        <v>197.450681686401</v>
      </c>
      <c r="N573" s="1">
        <v>10875.0</v>
      </c>
      <c r="O573" s="5">
        <f t="shared" si="55"/>
        <v>0</v>
      </c>
      <c r="Q573" s="1">
        <v>633563.56162334</v>
      </c>
      <c r="S573" s="1">
        <v>181.553669214248</v>
      </c>
      <c r="U573" s="1">
        <v>110842.015427938</v>
      </c>
      <c r="V573" s="1">
        <v>11.9935045242309</v>
      </c>
      <c r="X573" s="1">
        <v>626430.287946442</v>
      </c>
      <c r="Y573" s="1">
        <v>57.0467908382415</v>
      </c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D574" s="1" t="s">
        <v>26</v>
      </c>
      <c r="E574" s="1">
        <v>100.0</v>
      </c>
      <c r="F574" s="1">
        <v>25.0</v>
      </c>
      <c r="H574" s="1">
        <v>606449.29121559</v>
      </c>
      <c r="I574" s="1">
        <v>11.1141984462738</v>
      </c>
      <c r="J574" s="1">
        <v>707289.0</v>
      </c>
      <c r="K574" s="1">
        <v>650206.0</v>
      </c>
      <c r="L574" s="1">
        <v>650206.0</v>
      </c>
      <c r="M574" s="1">
        <v>44.1742072105407</v>
      </c>
      <c r="N574" s="1">
        <v>2041.0</v>
      </c>
      <c r="O574" s="5">
        <f t="shared" si="55"/>
        <v>0</v>
      </c>
      <c r="Q574" s="1">
        <v>606801.493221908</v>
      </c>
      <c r="S574" s="1">
        <v>111.862700939178</v>
      </c>
      <c r="U574" s="1">
        <v>112233.653981435</v>
      </c>
      <c r="V574" s="1">
        <v>20.9524757862091</v>
      </c>
      <c r="X574" s="1">
        <v>597644.021308804</v>
      </c>
      <c r="Y574" s="1">
        <v>35.1553177833557</v>
      </c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D575" s="1" t="s">
        <v>27</v>
      </c>
      <c r="E575" s="1">
        <v>100.0</v>
      </c>
      <c r="F575" s="1">
        <v>25.0</v>
      </c>
      <c r="H575" s="1">
        <v>610591.377668388</v>
      </c>
      <c r="I575" s="1">
        <v>11.1449434757232</v>
      </c>
      <c r="J575" s="1">
        <v>743045.0</v>
      </c>
      <c r="K575" s="1">
        <v>683452.999999999</v>
      </c>
      <c r="L575" s="1">
        <v>683452.999999999</v>
      </c>
      <c r="M575" s="1">
        <v>1345.11416053771</v>
      </c>
      <c r="N575" s="1">
        <v>63947.0</v>
      </c>
      <c r="O575" s="5">
        <f t="shared" si="55"/>
        <v>0</v>
      </c>
      <c r="Q575" s="1">
        <v>610937.796116412</v>
      </c>
      <c r="S575" s="1">
        <v>153.141604423522</v>
      </c>
      <c r="U575" s="1">
        <v>107266.853484373</v>
      </c>
      <c r="V575" s="1">
        <v>10.9318053722381</v>
      </c>
      <c r="X575" s="1" t="s">
        <v>46</v>
      </c>
      <c r="Y575" s="1">
        <v>8.98241281509399</v>
      </c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D576" s="1" t="s">
        <v>28</v>
      </c>
      <c r="E576" s="1">
        <v>100.0</v>
      </c>
      <c r="F576" s="1">
        <v>25.0</v>
      </c>
      <c r="H576" s="1">
        <v>586972.10084616</v>
      </c>
      <c r="I576" s="1">
        <v>11.1608369350433</v>
      </c>
      <c r="J576" s="1">
        <v>842993.0</v>
      </c>
      <c r="K576" s="1">
        <v>671240.999999999</v>
      </c>
      <c r="L576" s="1">
        <v>671240.999999999</v>
      </c>
      <c r="M576" s="1">
        <v>2365.10391712188</v>
      </c>
      <c r="N576" s="1">
        <v>97289.0</v>
      </c>
      <c r="O576" s="5">
        <f t="shared" si="55"/>
        <v>0</v>
      </c>
      <c r="Q576" s="1">
        <v>587305.69738491</v>
      </c>
      <c r="S576" s="1">
        <v>123.888764619827</v>
      </c>
      <c r="U576" s="1">
        <v>109371.968027411</v>
      </c>
      <c r="V576" s="1">
        <v>12.4931406974792</v>
      </c>
      <c r="X576" s="1">
        <v>577588.386037036</v>
      </c>
      <c r="Y576" s="1">
        <v>35.6260933876037</v>
      </c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D577" s="1" t="s">
        <v>29</v>
      </c>
      <c r="E577" s="1">
        <v>100.0</v>
      </c>
      <c r="F577" s="1">
        <v>25.0</v>
      </c>
      <c r="H577" s="1">
        <v>602659.159139877</v>
      </c>
      <c r="I577" s="1">
        <v>11.1000535488128</v>
      </c>
      <c r="J577" s="1">
        <v>721399.0</v>
      </c>
      <c r="K577" s="1">
        <v>682080.0</v>
      </c>
      <c r="L577" s="1">
        <v>682080.0</v>
      </c>
      <c r="M577" s="1">
        <v>1070.78297257423</v>
      </c>
      <c r="N577" s="1">
        <v>52659.0</v>
      </c>
      <c r="O577" s="5">
        <f t="shared" si="55"/>
        <v>0</v>
      </c>
      <c r="Q577" s="1">
        <v>603021.486223667</v>
      </c>
      <c r="S577" s="1">
        <v>183.746580600738</v>
      </c>
      <c r="U577" s="1">
        <v>109572.995016038</v>
      </c>
      <c r="V577" s="1">
        <v>12.1748266220092</v>
      </c>
      <c r="X577" s="1">
        <v>593595.705103301</v>
      </c>
      <c r="Y577" s="1">
        <v>35.391142129898</v>
      </c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D578" s="1" t="s">
        <v>30</v>
      </c>
      <c r="E578" s="1">
        <v>100.0</v>
      </c>
      <c r="F578" s="1">
        <v>25.0</v>
      </c>
      <c r="H578" s="1">
        <v>629521.475606274</v>
      </c>
      <c r="I578" s="1">
        <v>11.1496801376342</v>
      </c>
      <c r="J578" s="1">
        <v>951580.0</v>
      </c>
      <c r="K578" s="1">
        <v>734127.0</v>
      </c>
      <c r="L578" s="1">
        <v>734058.507283119</v>
      </c>
      <c r="M578" s="1">
        <v>3600.00130319595</v>
      </c>
      <c r="N578" s="1">
        <v>139149.0</v>
      </c>
      <c r="O578" s="5">
        <f t="shared" si="55"/>
        <v>0.00932981853</v>
      </c>
      <c r="Q578" s="1">
        <v>629842.465718868</v>
      </c>
      <c r="S578" s="1">
        <v>151.871587276458</v>
      </c>
      <c r="U578" s="1">
        <v>109076.139739624</v>
      </c>
      <c r="V578" s="1">
        <v>11.7252459526062</v>
      </c>
      <c r="X578" s="1">
        <v>623147.264319668</v>
      </c>
      <c r="Y578" s="1">
        <v>62.2959058284759</v>
      </c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D579" s="1" t="s">
        <v>31</v>
      </c>
      <c r="E579" s="1">
        <v>100.0</v>
      </c>
      <c r="F579" s="1">
        <v>25.0</v>
      </c>
      <c r="H579" s="1">
        <v>608421.847661226</v>
      </c>
      <c r="I579" s="1">
        <v>11.1233739852905</v>
      </c>
      <c r="J579" s="1">
        <v>701042.0</v>
      </c>
      <c r="K579" s="1">
        <v>691753.0</v>
      </c>
      <c r="L579" s="1">
        <v>691753.0</v>
      </c>
      <c r="M579" s="1">
        <v>193.099986314773</v>
      </c>
      <c r="N579" s="1">
        <v>11423.0</v>
      </c>
      <c r="O579" s="5">
        <f t="shared" si="55"/>
        <v>0</v>
      </c>
      <c r="Q579" s="1">
        <v>608754.729964266</v>
      </c>
      <c r="S579" s="1">
        <v>186.319784402847</v>
      </c>
      <c r="U579" s="1">
        <v>109405.999239347</v>
      </c>
      <c r="V579" s="1">
        <v>15.0199394226074</v>
      </c>
      <c r="X579" s="1">
        <v>603439.500857942</v>
      </c>
      <c r="Y579" s="1">
        <v>47.2955389022827</v>
      </c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D580" s="1" t="s">
        <v>32</v>
      </c>
      <c r="E580" s="1">
        <v>100.0</v>
      </c>
      <c r="F580" s="1">
        <v>25.0</v>
      </c>
      <c r="H580" s="1">
        <v>590531.867149362</v>
      </c>
      <c r="I580" s="1">
        <v>11.176382780075</v>
      </c>
      <c r="J580" s="1">
        <v>674668.999999999</v>
      </c>
      <c r="K580" s="1">
        <v>663257.0</v>
      </c>
      <c r="L580" s="1">
        <v>663257.0</v>
      </c>
      <c r="M580" s="1">
        <v>1814.12394833564</v>
      </c>
      <c r="N580" s="1">
        <v>82385.0</v>
      </c>
      <c r="O580" s="5">
        <f t="shared" si="55"/>
        <v>0</v>
      </c>
      <c r="Q580" s="1">
        <v>590789.56897335</v>
      </c>
      <c r="S580" s="1">
        <v>185.330824851989</v>
      </c>
      <c r="U580" s="1">
        <v>109647.371550608</v>
      </c>
      <c r="V580" s="1">
        <v>22.4889454841613</v>
      </c>
      <c r="X580" s="1">
        <v>584339.667246911</v>
      </c>
      <c r="Y580" s="1">
        <v>24.9507021903991</v>
      </c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D581" s="1" t="s">
        <v>33</v>
      </c>
      <c r="E581" s="1">
        <v>100.0</v>
      </c>
      <c r="F581" s="1">
        <v>25.0</v>
      </c>
      <c r="H581" s="1">
        <v>646289.613149256</v>
      </c>
      <c r="I581" s="1">
        <v>11.1301958560943</v>
      </c>
      <c r="J581" s="1">
        <v>863852.999999999</v>
      </c>
      <c r="K581" s="1">
        <v>747973.999999999</v>
      </c>
      <c r="L581" s="1">
        <v>747498.339015438</v>
      </c>
      <c r="M581" s="1">
        <v>3600.04163432121</v>
      </c>
      <c r="N581" s="1">
        <v>134645.0</v>
      </c>
      <c r="O581" s="5">
        <f t="shared" si="55"/>
        <v>0.06359325118</v>
      </c>
      <c r="Q581" s="1">
        <v>646657.143074102</v>
      </c>
      <c r="S581" s="1">
        <v>130.555430173873</v>
      </c>
      <c r="U581" s="1">
        <v>111651.008088069</v>
      </c>
      <c r="V581" s="1">
        <v>11.465008020401</v>
      </c>
      <c r="X581" s="1">
        <v>635818.125155684</v>
      </c>
      <c r="Y581" s="1">
        <v>35.1596076488494</v>
      </c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D582" s="1" t="s">
        <v>34</v>
      </c>
      <c r="E582" s="1">
        <v>100.0</v>
      </c>
      <c r="F582" s="1">
        <v>25.0</v>
      </c>
      <c r="H582" s="1">
        <v>591850.893530519</v>
      </c>
      <c r="I582" s="1">
        <v>11.2458589076995</v>
      </c>
      <c r="J582" s="1">
        <v>705068.0</v>
      </c>
      <c r="K582" s="1">
        <v>683543.999999999</v>
      </c>
      <c r="L582" s="1">
        <v>682817.666012015</v>
      </c>
      <c r="M582" s="1">
        <v>3601.80561518669</v>
      </c>
      <c r="N582" s="1">
        <v>139805.0</v>
      </c>
      <c r="O582" s="5">
        <f t="shared" si="55"/>
        <v>0.1062600195</v>
      </c>
      <c r="Q582" s="1">
        <v>592198.534514368</v>
      </c>
      <c r="S582" s="1">
        <v>145.506592035293</v>
      </c>
      <c r="U582" s="1">
        <v>110356.434197012</v>
      </c>
      <c r="V582" s="1">
        <v>53.8780267238616</v>
      </c>
      <c r="X582" s="1">
        <v>584519.274338673</v>
      </c>
      <c r="Y582" s="1">
        <v>52.71240234375</v>
      </c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D583" s="1" t="s">
        <v>35</v>
      </c>
      <c r="E583" s="1">
        <v>100.0</v>
      </c>
      <c r="F583" s="1">
        <v>25.0</v>
      </c>
      <c r="H583" s="1">
        <v>563915.485234382</v>
      </c>
      <c r="I583" s="1">
        <v>11.2316360473632</v>
      </c>
      <c r="J583" s="1">
        <v>627616.0</v>
      </c>
      <c r="K583" s="1">
        <v>606362.0</v>
      </c>
      <c r="L583" s="1">
        <v>606362.0</v>
      </c>
      <c r="M583" s="1">
        <v>65.4216883182525</v>
      </c>
      <c r="N583" s="1">
        <v>3217.0</v>
      </c>
      <c r="O583" s="5">
        <f t="shared" si="55"/>
        <v>0</v>
      </c>
      <c r="Q583" s="1">
        <v>564254.270399248</v>
      </c>
      <c r="S583" s="1">
        <v>110.278087377548</v>
      </c>
      <c r="U583" s="1">
        <v>107366.037224842</v>
      </c>
      <c r="V583" s="1">
        <v>14.4223523139953</v>
      </c>
      <c r="X583" s="1">
        <v>554319.742337084</v>
      </c>
      <c r="Y583" s="1">
        <v>47.5335988998413</v>
      </c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D584" s="1" t="s">
        <v>36</v>
      </c>
      <c r="E584" s="1">
        <v>100.0</v>
      </c>
      <c r="F584" s="1">
        <v>25.0</v>
      </c>
      <c r="H584" s="1">
        <v>602393.859772853</v>
      </c>
      <c r="I584" s="1">
        <v>11.2242662906646</v>
      </c>
      <c r="J584" s="1">
        <v>662732.0</v>
      </c>
      <c r="K584" s="1">
        <v>634307.999999999</v>
      </c>
      <c r="L584" s="1">
        <v>634307.999999999</v>
      </c>
      <c r="M584" s="1">
        <v>20.4396843910217</v>
      </c>
      <c r="N584" s="1">
        <v>661.0</v>
      </c>
      <c r="O584" s="5">
        <f t="shared" si="55"/>
        <v>0</v>
      </c>
      <c r="Q584" s="1">
        <v>602742.799252682</v>
      </c>
      <c r="S584" s="1">
        <v>140.018450260162</v>
      </c>
      <c r="U584" s="1">
        <v>110242.074286286</v>
      </c>
      <c r="V584" s="1">
        <v>12.0738341808319</v>
      </c>
      <c r="X584" s="1">
        <v>594758.354298943</v>
      </c>
      <c r="Y584" s="1">
        <v>31.3216929435729</v>
      </c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D585" s="1" t="s">
        <v>37</v>
      </c>
      <c r="E585" s="1">
        <v>100.0</v>
      </c>
      <c r="F585" s="1">
        <v>25.0</v>
      </c>
      <c r="H585" s="1">
        <v>617543.655451316</v>
      </c>
      <c r="I585" s="1">
        <v>11.2358577251434</v>
      </c>
      <c r="J585" s="1">
        <v>683289.0</v>
      </c>
      <c r="K585" s="1">
        <v>658056.999999999</v>
      </c>
      <c r="L585" s="1">
        <v>658056.999999999</v>
      </c>
      <c r="M585" s="1">
        <v>49.8493497371673</v>
      </c>
      <c r="N585" s="1">
        <v>2243.0</v>
      </c>
      <c r="O585" s="5">
        <f t="shared" si="55"/>
        <v>0</v>
      </c>
      <c r="Q585" s="1">
        <v>617891.015258722</v>
      </c>
      <c r="S585" s="1">
        <v>112.796757221221</v>
      </c>
      <c r="U585" s="1">
        <v>110412.258890059</v>
      </c>
      <c r="V585" s="1">
        <v>11.2085652351379</v>
      </c>
      <c r="X585" s="1">
        <v>606694.943084491</v>
      </c>
      <c r="Y585" s="1">
        <v>39.6923222541809</v>
      </c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D586" s="1" t="s">
        <v>38</v>
      </c>
      <c r="E586" s="1">
        <v>100.0</v>
      </c>
      <c r="F586" s="1">
        <v>25.0</v>
      </c>
      <c r="H586" s="1">
        <v>590102.357243489</v>
      </c>
      <c r="I586" s="1">
        <v>11.247258901596</v>
      </c>
      <c r="J586" s="1">
        <v>693754.0</v>
      </c>
      <c r="K586" s="1">
        <v>659213.999999999</v>
      </c>
      <c r="L586" s="1">
        <v>659213.999999999</v>
      </c>
      <c r="M586" s="1">
        <v>3565.43281030654</v>
      </c>
      <c r="N586" s="1">
        <v>124511.0</v>
      </c>
      <c r="O586" s="5">
        <f t="shared" si="55"/>
        <v>0</v>
      </c>
      <c r="Q586" s="1">
        <v>590455.193123687</v>
      </c>
      <c r="S586" s="1">
        <v>189.554497003555</v>
      </c>
      <c r="U586" s="1">
        <v>110480.474042964</v>
      </c>
      <c r="V586" s="1">
        <v>14.6670641899108</v>
      </c>
      <c r="X586" s="1">
        <v>580436.8867747</v>
      </c>
      <c r="Y586" s="1">
        <v>46.8917891979217</v>
      </c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D587" s="1" t="s">
        <v>39</v>
      </c>
      <c r="E587" s="1">
        <v>100.0</v>
      </c>
      <c r="F587" s="1">
        <v>25.0</v>
      </c>
      <c r="H587" s="1">
        <v>589946.762383996</v>
      </c>
      <c r="I587" s="1">
        <v>11.4121923446655</v>
      </c>
      <c r="J587" s="1">
        <v>678609.0</v>
      </c>
      <c r="K587" s="1">
        <v>666547.999999999</v>
      </c>
      <c r="L587" s="1">
        <v>662376.247722637</v>
      </c>
      <c r="M587" s="1">
        <v>3600.01030516624</v>
      </c>
      <c r="N587" s="1">
        <v>125181.0</v>
      </c>
      <c r="O587" s="5">
        <f t="shared" si="55"/>
        <v>0.6258742472</v>
      </c>
      <c r="Q587" s="1">
        <v>590332.571604478</v>
      </c>
      <c r="S587" s="1">
        <v>187.417875051498</v>
      </c>
      <c r="U587" s="1">
        <v>107444.219236568</v>
      </c>
      <c r="V587" s="1">
        <v>12.4768190383911</v>
      </c>
      <c r="X587" s="1">
        <v>578168.823000615</v>
      </c>
      <c r="Y587" s="1">
        <v>32.2970316410064</v>
      </c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D588" s="1" t="s">
        <v>40</v>
      </c>
      <c r="E588" s="1">
        <v>100.0</v>
      </c>
      <c r="F588" s="1">
        <v>25.0</v>
      </c>
      <c r="H588" s="1">
        <v>614237.283630129</v>
      </c>
      <c r="I588" s="1">
        <v>11.4799971580505</v>
      </c>
      <c r="J588" s="1">
        <v>711846.0</v>
      </c>
      <c r="K588" s="1">
        <v>661834.0</v>
      </c>
      <c r="L588" s="1">
        <v>661834.0</v>
      </c>
      <c r="M588" s="1">
        <v>104.704732894897</v>
      </c>
      <c r="N588" s="1">
        <v>5113.0</v>
      </c>
      <c r="O588" s="5">
        <f t="shared" si="55"/>
        <v>0</v>
      </c>
      <c r="Q588" s="1">
        <v>614584.043708527</v>
      </c>
      <c r="S588" s="1">
        <v>105.097465038299</v>
      </c>
      <c r="U588" s="1">
        <v>110126.29041479</v>
      </c>
      <c r="V588" s="1">
        <v>28.3261361122131</v>
      </c>
      <c r="X588" s="1">
        <v>605765.379307242</v>
      </c>
      <c r="Y588" s="1">
        <v>46.2193422317504</v>
      </c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D589" s="1" t="s">
        <v>41</v>
      </c>
      <c r="E589" s="1">
        <v>100.0</v>
      </c>
      <c r="F589" s="1">
        <v>25.0</v>
      </c>
      <c r="H589" s="1">
        <v>627721.108846422</v>
      </c>
      <c r="I589" s="1">
        <v>11.5116384029388</v>
      </c>
      <c r="J589" s="1">
        <v>755903.999999999</v>
      </c>
      <c r="K589" s="1">
        <v>686042.0</v>
      </c>
      <c r="L589" s="1">
        <v>686042.0</v>
      </c>
      <c r="M589" s="1">
        <v>155.104392528533</v>
      </c>
      <c r="N589" s="1">
        <v>7611.0</v>
      </c>
      <c r="O589" s="5">
        <f t="shared" si="55"/>
        <v>0</v>
      </c>
      <c r="Q589" s="1">
        <v>628070.564532383</v>
      </c>
      <c r="S589" s="1">
        <v>133.206484556198</v>
      </c>
      <c r="U589" s="1">
        <v>109853.451017505</v>
      </c>
      <c r="V589" s="1">
        <v>13.7165856361389</v>
      </c>
      <c r="X589" s="1">
        <v>615251.507045759</v>
      </c>
      <c r="Y589" s="1">
        <v>39.9157676696777</v>
      </c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D590" s="1" t="s">
        <v>42</v>
      </c>
      <c r="E590" s="1">
        <v>100.0</v>
      </c>
      <c r="F590" s="1">
        <v>25.0</v>
      </c>
      <c r="H590" s="1">
        <v>589875.370495083</v>
      </c>
      <c r="I590" s="1">
        <v>11.4153525829315</v>
      </c>
      <c r="J590" s="1">
        <v>657135.0</v>
      </c>
      <c r="K590" s="1">
        <v>639384.999999999</v>
      </c>
      <c r="L590" s="1">
        <v>639384.999999999</v>
      </c>
      <c r="M590" s="1">
        <v>268.378425598144</v>
      </c>
      <c r="N590" s="1">
        <v>13591.0</v>
      </c>
      <c r="O590" s="5">
        <f t="shared" si="55"/>
        <v>0</v>
      </c>
      <c r="Q590" s="1">
        <v>590244.466341722</v>
      </c>
      <c r="S590" s="1">
        <v>157.1766269207</v>
      </c>
      <c r="U590" s="1">
        <v>110354.999814352</v>
      </c>
      <c r="V590" s="1">
        <v>12.5834469795227</v>
      </c>
      <c r="X590" s="1">
        <v>578534.115930817</v>
      </c>
      <c r="Y590" s="1">
        <v>54.5685033798217</v>
      </c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D591" s="1" t="s">
        <v>43</v>
      </c>
      <c r="E591" s="1">
        <v>100.0</v>
      </c>
      <c r="F591" s="1">
        <v>25.0</v>
      </c>
      <c r="H591" s="1">
        <v>595608.317854219</v>
      </c>
      <c r="I591" s="1">
        <v>11.4912164211273</v>
      </c>
      <c r="J591" s="1">
        <v>683133.0</v>
      </c>
      <c r="K591" s="1">
        <v>676414.0</v>
      </c>
      <c r="L591" s="1">
        <v>676414.0</v>
      </c>
      <c r="M591" s="1">
        <v>1878.9975361824</v>
      </c>
      <c r="N591" s="1">
        <v>83959.0</v>
      </c>
      <c r="O591" s="5">
        <f t="shared" si="55"/>
        <v>0</v>
      </c>
      <c r="Q591" s="1">
        <v>595932.485100258</v>
      </c>
      <c r="S591" s="1">
        <v>183.925650835037</v>
      </c>
      <c r="U591" s="1" t="s">
        <v>46</v>
      </c>
      <c r="V591" s="1">
        <v>9.1558666229248</v>
      </c>
      <c r="X591" s="1" t="s">
        <v>46</v>
      </c>
      <c r="Y591" s="1">
        <v>8.96336364746093</v>
      </c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D592" s="1" t="s">
        <v>44</v>
      </c>
      <c r="E592" s="1">
        <v>100.0</v>
      </c>
      <c r="F592" s="1">
        <v>25.0</v>
      </c>
      <c r="H592" s="1">
        <v>599858.215248941</v>
      </c>
      <c r="I592" s="1">
        <v>11.5341851711273</v>
      </c>
      <c r="J592" s="1">
        <v>731152.999999999</v>
      </c>
      <c r="K592" s="1">
        <v>667482.999999999</v>
      </c>
      <c r="L592" s="1">
        <v>667482.999999999</v>
      </c>
      <c r="M592" s="1">
        <v>316.626670360565</v>
      </c>
      <c r="N592" s="1">
        <v>16757.0</v>
      </c>
      <c r="O592" s="5">
        <f t="shared" si="55"/>
        <v>0</v>
      </c>
      <c r="Q592" s="1">
        <v>600191.495257288</v>
      </c>
      <c r="S592" s="1">
        <v>136.310374736785</v>
      </c>
      <c r="U592" s="1">
        <v>110229.542748064</v>
      </c>
      <c r="V592" s="1">
        <v>12.3715915679931</v>
      </c>
      <c r="X592" s="1">
        <v>591786.56907923</v>
      </c>
      <c r="Y592" s="1">
        <v>47.1328620910644</v>
      </c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D593" s="1" t="s">
        <v>45</v>
      </c>
      <c r="E593" s="1">
        <v>100.0</v>
      </c>
      <c r="F593" s="1">
        <v>25.0</v>
      </c>
      <c r="H593" s="1">
        <v>596872.658764918</v>
      </c>
      <c r="I593" s="1">
        <v>11.5382151603698</v>
      </c>
      <c r="J593" s="1">
        <v>784126.999999999</v>
      </c>
      <c r="K593" s="1">
        <v>674476.999999999</v>
      </c>
      <c r="L593" s="1">
        <v>674476.999999999</v>
      </c>
      <c r="M593" s="1">
        <v>1293.97710227966</v>
      </c>
      <c r="N593" s="1">
        <v>61501.0</v>
      </c>
      <c r="O593" s="5">
        <f t="shared" si="55"/>
        <v>0</v>
      </c>
      <c r="Q593" s="1">
        <v>597223.38894716</v>
      </c>
      <c r="S593" s="1">
        <v>146.727502822875</v>
      </c>
      <c r="U593" s="1">
        <v>113073.649389559</v>
      </c>
      <c r="V593" s="1">
        <v>15.6635334491729</v>
      </c>
      <c r="X593" s="1">
        <v>590180.628748439</v>
      </c>
      <c r="Y593" s="1">
        <v>44.6220602989196</v>
      </c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D594" s="1"/>
      <c r="E594" s="6">
        <f t="shared" ref="E594:F594" si="56">AVERAGE(E564:E593)</f>
        <v>100</v>
      </c>
      <c r="F594" s="6">
        <f t="shared" si="56"/>
        <v>25</v>
      </c>
      <c r="H594" s="6">
        <f t="shared" ref="H594:O594" si="57">AVERAGE(H564:H593)</f>
        <v>603370.4113</v>
      </c>
      <c r="I594" s="6">
        <f t="shared" si="57"/>
        <v>11.23510495</v>
      </c>
      <c r="J594" s="6">
        <f t="shared" si="57"/>
        <v>739350.7</v>
      </c>
      <c r="K594" s="6">
        <f t="shared" si="57"/>
        <v>676367.1333</v>
      </c>
      <c r="L594" s="6">
        <f t="shared" si="57"/>
        <v>675743.2952</v>
      </c>
      <c r="M594" s="6">
        <f t="shared" si="57"/>
        <v>1558.760168</v>
      </c>
      <c r="N594" s="6">
        <f t="shared" si="57"/>
        <v>62632.4</v>
      </c>
      <c r="O594" s="6">
        <f t="shared" si="57"/>
        <v>0.09279055849</v>
      </c>
      <c r="Q594" s="6">
        <f>AVERAGE(Q564:Q593)</f>
        <v>603713.3592</v>
      </c>
      <c r="S594" s="6">
        <f>AVERAGE(S564:S593)</f>
        <v>147.8707815</v>
      </c>
    </row>
    <row r="595">
      <c r="D595" s="1" t="s">
        <v>16</v>
      </c>
      <c r="E595" s="1">
        <v>100.0</v>
      </c>
      <c r="F595" s="1">
        <v>30.0</v>
      </c>
      <c r="H595" s="1">
        <v>834975.728071269</v>
      </c>
      <c r="I595" s="1">
        <v>11.6833918094635</v>
      </c>
      <c r="J595" s="1">
        <v>919030.0</v>
      </c>
      <c r="K595" s="1">
        <v>908544.0</v>
      </c>
      <c r="L595" s="1">
        <v>903616.554955092</v>
      </c>
      <c r="M595" s="1">
        <v>3600.00390124321</v>
      </c>
      <c r="N595" s="1">
        <v>131553.0</v>
      </c>
      <c r="O595" s="5">
        <f t="shared" ref="O595:O624" si="58">100*(K595-L595)/K595</f>
        <v>0.5423452298</v>
      </c>
      <c r="Q595" s="1">
        <v>835257.396126762</v>
      </c>
      <c r="S595" s="1">
        <v>133.40605688095</v>
      </c>
      <c r="U595" s="1">
        <v>118355.007809193</v>
      </c>
      <c r="V595" s="1">
        <v>11.5407667160034</v>
      </c>
      <c r="X595" s="1">
        <v>823148.665292865</v>
      </c>
      <c r="Y595" s="1">
        <v>30.0878059864044</v>
      </c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D596" s="1" t="s">
        <v>17</v>
      </c>
      <c r="E596" s="1">
        <v>100.0</v>
      </c>
      <c r="F596" s="1">
        <v>30.0</v>
      </c>
      <c r="H596" s="1">
        <v>930286.450462969</v>
      </c>
      <c r="I596" s="1">
        <v>11.6183612346649</v>
      </c>
      <c r="J596" s="1">
        <v>1154820.0</v>
      </c>
      <c r="K596" s="1">
        <v>1013495.0</v>
      </c>
      <c r="L596" s="1">
        <v>1013495.0</v>
      </c>
      <c r="M596" s="1">
        <v>359.7936398983</v>
      </c>
      <c r="N596" s="1">
        <v>19787.0</v>
      </c>
      <c r="O596" s="5">
        <f t="shared" si="58"/>
        <v>0</v>
      </c>
      <c r="Q596" s="1">
        <v>930642.13407942</v>
      </c>
      <c r="S596" s="1">
        <v>146.86483502388</v>
      </c>
      <c r="U596" s="1" t="s">
        <v>46</v>
      </c>
      <c r="V596" s="1">
        <v>9.68248438835144</v>
      </c>
      <c r="X596" s="1" t="s">
        <v>46</v>
      </c>
      <c r="Y596" s="1">
        <v>9.07182073593139</v>
      </c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D597" s="1" t="s">
        <v>18</v>
      </c>
      <c r="E597" s="1">
        <v>100.0</v>
      </c>
      <c r="F597" s="1">
        <v>30.0</v>
      </c>
      <c r="H597" s="1">
        <v>859209.27441459</v>
      </c>
      <c r="I597" s="1">
        <v>11.5458750724792</v>
      </c>
      <c r="J597" s="1">
        <v>904562.999999999</v>
      </c>
      <c r="K597" s="1">
        <v>904221.999999999</v>
      </c>
      <c r="L597" s="1">
        <v>904221.999999999</v>
      </c>
      <c r="M597" s="1">
        <v>41.0399103164672</v>
      </c>
      <c r="N597" s="1">
        <v>2019.0</v>
      </c>
      <c r="O597" s="5">
        <f t="shared" si="58"/>
        <v>0</v>
      </c>
      <c r="Q597" s="1">
        <v>859556.113291579</v>
      </c>
      <c r="S597" s="1">
        <v>158.843381643295</v>
      </c>
      <c r="U597" s="1">
        <v>118462.931439731</v>
      </c>
      <c r="V597" s="1">
        <v>14.5881950855255</v>
      </c>
      <c r="X597" s="1">
        <v>852282.099578111</v>
      </c>
      <c r="Y597" s="1">
        <v>37.8866901397705</v>
      </c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D598" s="1" t="s">
        <v>19</v>
      </c>
      <c r="E598" s="1">
        <v>100.0</v>
      </c>
      <c r="F598" s="1">
        <v>30.0</v>
      </c>
      <c r="H598" s="1">
        <v>930806.928464622</v>
      </c>
      <c r="I598" s="1">
        <v>11.5720500946044</v>
      </c>
      <c r="J598" s="1">
        <v>1068439.0</v>
      </c>
      <c r="K598" s="1">
        <v>1017460.0</v>
      </c>
      <c r="L598" s="1">
        <v>1017460.0</v>
      </c>
      <c r="M598" s="1">
        <v>658.848299503326</v>
      </c>
      <c r="N598" s="1">
        <v>35947.0</v>
      </c>
      <c r="O598" s="5">
        <f t="shared" si="58"/>
        <v>0</v>
      </c>
      <c r="Q598" s="1">
        <v>931286.731458206</v>
      </c>
      <c r="S598" s="1">
        <v>190.939348220825</v>
      </c>
      <c r="U598" s="1">
        <v>119784.353247784</v>
      </c>
      <c r="V598" s="1">
        <v>16.1437726020813</v>
      </c>
      <c r="X598" s="1">
        <v>918553.125937674</v>
      </c>
      <c r="Y598" s="1">
        <v>32.5631947517395</v>
      </c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D599" s="1" t="s">
        <v>20</v>
      </c>
      <c r="E599" s="1">
        <v>100.0</v>
      </c>
      <c r="F599" s="1">
        <v>30.0</v>
      </c>
      <c r="H599" s="1">
        <v>934248.145928822</v>
      </c>
      <c r="I599" s="1">
        <v>11.603321313858</v>
      </c>
      <c r="J599" s="1">
        <v>1055443.0</v>
      </c>
      <c r="K599" s="1">
        <v>994466.0</v>
      </c>
      <c r="L599" s="1">
        <v>994466.0</v>
      </c>
      <c r="M599" s="1">
        <v>291.619443416595</v>
      </c>
      <c r="N599" s="1">
        <v>15089.0</v>
      </c>
      <c r="O599" s="5">
        <f t="shared" si="58"/>
        <v>0</v>
      </c>
      <c r="Q599" s="1">
        <v>934725.896842342</v>
      </c>
      <c r="S599" s="1">
        <v>102.478836536407</v>
      </c>
      <c r="U599" s="1">
        <v>123490.997790457</v>
      </c>
      <c r="V599" s="1">
        <v>12.9326214790344</v>
      </c>
      <c r="X599" s="1">
        <v>912813.656852862</v>
      </c>
      <c r="Y599" s="1">
        <v>36.9214425086975</v>
      </c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D600" s="1" t="s">
        <v>21</v>
      </c>
      <c r="E600" s="1">
        <v>100.0</v>
      </c>
      <c r="F600" s="1">
        <v>30.0</v>
      </c>
      <c r="H600" s="1">
        <v>824435.460607076</v>
      </c>
      <c r="I600" s="1">
        <v>11.6716027259826</v>
      </c>
      <c r="J600" s="1">
        <v>871300.999999999</v>
      </c>
      <c r="K600" s="1">
        <v>871300.999999999</v>
      </c>
      <c r="L600" s="1">
        <v>871300.999999999</v>
      </c>
      <c r="M600" s="1">
        <v>72.6420454978942</v>
      </c>
      <c r="N600" s="1">
        <v>4081.0</v>
      </c>
      <c r="O600" s="5">
        <f t="shared" si="58"/>
        <v>0</v>
      </c>
      <c r="Q600" s="1">
        <v>824872.660360436</v>
      </c>
      <c r="S600" s="1">
        <v>184.207802295684</v>
      </c>
      <c r="U600" s="1">
        <v>118623.129580654</v>
      </c>
      <c r="V600" s="1">
        <v>10.9159586429595</v>
      </c>
      <c r="X600" s="1">
        <v>815721.360297435</v>
      </c>
      <c r="Y600" s="1">
        <v>38.2550032138824</v>
      </c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D601" s="1" t="s">
        <v>22</v>
      </c>
      <c r="E601" s="1">
        <v>100.0</v>
      </c>
      <c r="F601" s="1">
        <v>30.0</v>
      </c>
      <c r="H601" s="1">
        <v>932418.939116189</v>
      </c>
      <c r="I601" s="1">
        <v>11.6112027168273</v>
      </c>
      <c r="J601" s="1">
        <v>1164193.0</v>
      </c>
      <c r="K601" s="1">
        <v>1023549.99999999</v>
      </c>
      <c r="L601" s="1">
        <v>1023549.99999999</v>
      </c>
      <c r="M601" s="1">
        <v>411.211364269256</v>
      </c>
      <c r="N601" s="1">
        <v>23235.0</v>
      </c>
      <c r="O601" s="5">
        <f t="shared" si="58"/>
        <v>0</v>
      </c>
      <c r="Q601" s="1">
        <v>932759.584826211</v>
      </c>
      <c r="S601" s="1">
        <v>193.126576423645</v>
      </c>
      <c r="U601" s="1">
        <v>120325.000177074</v>
      </c>
      <c r="V601" s="1">
        <v>11.3685677051544</v>
      </c>
      <c r="X601" s="1">
        <v>923154.067504322</v>
      </c>
      <c r="Y601" s="1">
        <v>34.8763008117675</v>
      </c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D602" s="1" t="s">
        <v>23</v>
      </c>
      <c r="E602" s="1">
        <v>100.0</v>
      </c>
      <c r="F602" s="1">
        <v>30.0</v>
      </c>
      <c r="H602" s="1">
        <v>962204.257855271</v>
      </c>
      <c r="I602" s="1">
        <v>11.6071922779083</v>
      </c>
      <c r="J602" s="1">
        <v>1323677.0</v>
      </c>
      <c r="K602" s="1">
        <v>1047669.0</v>
      </c>
      <c r="L602" s="1">
        <v>1047669.0</v>
      </c>
      <c r="M602" s="1">
        <v>122.506747961044</v>
      </c>
      <c r="N602" s="1">
        <v>6543.0</v>
      </c>
      <c r="O602" s="5">
        <f t="shared" si="58"/>
        <v>0</v>
      </c>
      <c r="Q602" s="1">
        <v>962659.453291762</v>
      </c>
      <c r="S602" s="1">
        <v>143.849742412567</v>
      </c>
      <c r="U602" s="1">
        <v>118432.154927063</v>
      </c>
      <c r="V602" s="1">
        <v>10.825049161911</v>
      </c>
      <c r="X602" s="1">
        <v>943779.313625485</v>
      </c>
      <c r="Y602" s="1">
        <v>30.3361511230468</v>
      </c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D603" s="1" t="s">
        <v>24</v>
      </c>
      <c r="E603" s="1">
        <v>100.0</v>
      </c>
      <c r="F603" s="1">
        <v>30.0</v>
      </c>
      <c r="H603" s="1">
        <v>912347.32563798</v>
      </c>
      <c r="I603" s="1">
        <v>11.5978934764862</v>
      </c>
      <c r="J603" s="1">
        <v>967728.999999999</v>
      </c>
      <c r="K603" s="1">
        <v>955891.999999999</v>
      </c>
      <c r="L603" s="1">
        <v>955891.999999999</v>
      </c>
      <c r="M603" s="1">
        <v>65.7680268287658</v>
      </c>
      <c r="N603" s="1">
        <v>3307.0</v>
      </c>
      <c r="O603" s="5">
        <f t="shared" si="58"/>
        <v>0</v>
      </c>
      <c r="Q603" s="1">
        <v>912806.217296407</v>
      </c>
      <c r="S603" s="1">
        <v>112.131276845932</v>
      </c>
      <c r="U603" s="1">
        <v>119885.556107483</v>
      </c>
      <c r="V603" s="1">
        <v>18.3156847953796</v>
      </c>
      <c r="X603" s="1">
        <v>893667.78609655</v>
      </c>
      <c r="Y603" s="1">
        <v>32.2994828224182</v>
      </c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D604" s="1" t="s">
        <v>25</v>
      </c>
      <c r="E604" s="1">
        <v>100.0</v>
      </c>
      <c r="F604" s="1">
        <v>30.0</v>
      </c>
      <c r="H604" s="1">
        <v>954220.126503376</v>
      </c>
      <c r="I604" s="1">
        <v>11.6245000362396</v>
      </c>
      <c r="J604" s="1">
        <v>1121671.0</v>
      </c>
      <c r="K604" s="1">
        <v>1009541.99999999</v>
      </c>
      <c r="L604" s="1">
        <v>1009541.99999999</v>
      </c>
      <c r="M604" s="1">
        <v>62.8851776123046</v>
      </c>
      <c r="N604" s="1">
        <v>3049.0</v>
      </c>
      <c r="O604" s="5">
        <f t="shared" si="58"/>
        <v>0</v>
      </c>
      <c r="Q604" s="1">
        <v>954683.109610631</v>
      </c>
      <c r="S604" s="1">
        <v>136.552813053131</v>
      </c>
      <c r="U604" s="1">
        <v>119426.479306185</v>
      </c>
      <c r="V604" s="1">
        <v>12.6272337436676</v>
      </c>
      <c r="X604" s="1">
        <v>938965.691031968</v>
      </c>
      <c r="Y604" s="1">
        <v>27.6937384605407</v>
      </c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D605" s="1" t="s">
        <v>26</v>
      </c>
      <c r="E605" s="1">
        <v>100.0</v>
      </c>
      <c r="F605" s="1">
        <v>30.0</v>
      </c>
      <c r="H605" s="1">
        <v>899042.149773663</v>
      </c>
      <c r="I605" s="1">
        <v>11.662976026535</v>
      </c>
      <c r="J605" s="1">
        <v>925583.0</v>
      </c>
      <c r="K605" s="1">
        <v>924181.999999999</v>
      </c>
      <c r="L605" s="1">
        <v>924181.999999999</v>
      </c>
      <c r="M605" s="1">
        <v>18.6327450275421</v>
      </c>
      <c r="N605" s="1">
        <v>509.0</v>
      </c>
      <c r="O605" s="5">
        <f t="shared" si="58"/>
        <v>0</v>
      </c>
      <c r="Q605" s="1">
        <v>899421.746626349</v>
      </c>
      <c r="S605" s="1">
        <v>147.6908121109</v>
      </c>
      <c r="U605" s="1">
        <v>121660.937336583</v>
      </c>
      <c r="V605" s="1">
        <v>10.3712835311889</v>
      </c>
      <c r="X605" s="1">
        <v>884157.022793736</v>
      </c>
      <c r="Y605" s="1">
        <v>29.5116996765136</v>
      </c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D606" s="1" t="s">
        <v>27</v>
      </c>
      <c r="E606" s="1">
        <v>100.0</v>
      </c>
      <c r="F606" s="1">
        <v>30.0</v>
      </c>
      <c r="H606" s="1">
        <v>904557.673248835</v>
      </c>
      <c r="I606" s="1">
        <v>11.5977110862731</v>
      </c>
      <c r="J606" s="1">
        <v>967099.999999999</v>
      </c>
      <c r="K606" s="1">
        <v>966710.0</v>
      </c>
      <c r="L606" s="1">
        <v>966710.0</v>
      </c>
      <c r="M606" s="1">
        <v>560.233298301696</v>
      </c>
      <c r="N606" s="1">
        <v>31633.0</v>
      </c>
      <c r="O606" s="5">
        <f t="shared" si="58"/>
        <v>0</v>
      </c>
      <c r="Q606" s="1">
        <v>905000.958098312</v>
      </c>
      <c r="S606" s="1">
        <v>193.784854888916</v>
      </c>
      <c r="U606" s="1">
        <v>116691.997573954</v>
      </c>
      <c r="V606" s="1">
        <v>10.6781146526336</v>
      </c>
      <c r="X606" s="1" t="s">
        <v>46</v>
      </c>
      <c r="Y606" s="1">
        <v>8.96597838401794</v>
      </c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D607" s="1" t="s">
        <v>28</v>
      </c>
      <c r="E607" s="1">
        <v>100.0</v>
      </c>
      <c r="F607" s="1">
        <v>30.0</v>
      </c>
      <c r="H607" s="1">
        <v>881045.931905481</v>
      </c>
      <c r="I607" s="1">
        <v>11.5823743343353</v>
      </c>
      <c r="J607" s="1">
        <v>1046959.0</v>
      </c>
      <c r="K607" s="1">
        <v>954544.999999999</v>
      </c>
      <c r="L607" s="1">
        <v>954544.999999999</v>
      </c>
      <c r="M607" s="1">
        <v>665.332519769668</v>
      </c>
      <c r="N607" s="1">
        <v>35271.0</v>
      </c>
      <c r="O607" s="5">
        <f t="shared" si="58"/>
        <v>0</v>
      </c>
      <c r="Q607" s="1">
        <v>881429.791278908</v>
      </c>
      <c r="S607" s="1">
        <v>113.99980854988</v>
      </c>
      <c r="U607" s="1">
        <v>118516.745052155</v>
      </c>
      <c r="V607" s="1">
        <v>11.9273061752319</v>
      </c>
      <c r="X607" s="1">
        <v>862529.844235541</v>
      </c>
      <c r="Y607" s="1">
        <v>24.999428987503</v>
      </c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D608" s="1" t="s">
        <v>29</v>
      </c>
      <c r="E608" s="1">
        <v>100.0</v>
      </c>
      <c r="F608" s="1">
        <v>30.0</v>
      </c>
      <c r="H608" s="1">
        <v>906813.356973402</v>
      </c>
      <c r="I608" s="1">
        <v>11.6159176826477</v>
      </c>
      <c r="J608" s="1">
        <v>1005498.0</v>
      </c>
      <c r="K608" s="1">
        <v>977074.999999999</v>
      </c>
      <c r="L608" s="1">
        <v>977074.999999999</v>
      </c>
      <c r="M608" s="1">
        <v>332.684857845306</v>
      </c>
      <c r="N608" s="1">
        <v>18491.0</v>
      </c>
      <c r="O608" s="5">
        <f t="shared" si="58"/>
        <v>0</v>
      </c>
      <c r="Q608" s="1">
        <v>907247.307012641</v>
      </c>
      <c r="S608" s="1">
        <v>141.975838422775</v>
      </c>
      <c r="U608" s="1">
        <v>118727.055696554</v>
      </c>
      <c r="V608" s="1">
        <v>11.7688925266265</v>
      </c>
      <c r="X608" s="1">
        <v>892757.6597563</v>
      </c>
      <c r="Y608" s="1">
        <v>35.0590169429779</v>
      </c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D609" s="1" t="s">
        <v>30</v>
      </c>
      <c r="E609" s="1">
        <v>100.0</v>
      </c>
      <c r="F609" s="1">
        <v>30.0</v>
      </c>
      <c r="H609" s="1">
        <v>953326.324090366</v>
      </c>
      <c r="I609" s="1">
        <v>11.5902273654937</v>
      </c>
      <c r="J609" s="1">
        <v>1175791.0</v>
      </c>
      <c r="K609" s="1">
        <v>1048630.0</v>
      </c>
      <c r="L609" s="1">
        <v>1048630.0</v>
      </c>
      <c r="M609" s="1">
        <v>1000.58886098861</v>
      </c>
      <c r="N609" s="1">
        <v>47811.0</v>
      </c>
      <c r="O609" s="5">
        <f t="shared" si="58"/>
        <v>0</v>
      </c>
      <c r="Q609" s="1">
        <v>953744.585811436</v>
      </c>
      <c r="S609" s="1">
        <v>155.907945632934</v>
      </c>
      <c r="U609" s="1">
        <v>119185.409023324</v>
      </c>
      <c r="V609" s="1">
        <v>11.5398299694061</v>
      </c>
      <c r="X609" s="1">
        <v>938276.087468125</v>
      </c>
      <c r="Y609" s="1">
        <v>41.0404577255249</v>
      </c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D610" s="1" t="s">
        <v>31</v>
      </c>
      <c r="E610" s="1">
        <v>100.0</v>
      </c>
      <c r="F610" s="1">
        <v>30.0</v>
      </c>
      <c r="H610" s="1">
        <v>944879.032613343</v>
      </c>
      <c r="I610" s="1">
        <v>11.6407794952392</v>
      </c>
      <c r="J610" s="1">
        <v>1190462.0</v>
      </c>
      <c r="K610" s="1">
        <v>1012658.99999999</v>
      </c>
      <c r="L610" s="1">
        <v>1012658.99999999</v>
      </c>
      <c r="M610" s="1">
        <v>52.2202835083007</v>
      </c>
      <c r="N610" s="1">
        <v>2669.0</v>
      </c>
      <c r="O610" s="5">
        <f t="shared" si="58"/>
        <v>0</v>
      </c>
      <c r="Q610" s="1">
        <v>945366.094797985</v>
      </c>
      <c r="S610" s="1">
        <v>191.530659914016</v>
      </c>
      <c r="U610" s="1">
        <v>119205.891998621</v>
      </c>
      <c r="V610" s="1">
        <v>15.3219289779663</v>
      </c>
      <c r="X610" s="1">
        <v>933435.992010191</v>
      </c>
      <c r="Y610" s="1">
        <v>31.6013107299804</v>
      </c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D611" s="1" t="s">
        <v>32</v>
      </c>
      <c r="E611" s="1">
        <v>100.0</v>
      </c>
      <c r="F611" s="1">
        <v>30.0</v>
      </c>
      <c r="H611" s="1">
        <v>879533.9710427</v>
      </c>
      <c r="I611" s="1">
        <v>11.6543767452239</v>
      </c>
      <c r="J611" s="1">
        <v>938967.0</v>
      </c>
      <c r="K611" s="1">
        <v>937864.0</v>
      </c>
      <c r="L611" s="1">
        <v>937864.0</v>
      </c>
      <c r="M611" s="1">
        <v>208.920620203018</v>
      </c>
      <c r="N611" s="1">
        <v>12477.0</v>
      </c>
      <c r="O611" s="5">
        <f t="shared" si="58"/>
        <v>0</v>
      </c>
      <c r="Q611" s="1">
        <v>879890.790593198</v>
      </c>
      <c r="S611" s="1">
        <v>169.497251749038</v>
      </c>
      <c r="U611" s="1">
        <v>119234.973690169</v>
      </c>
      <c r="V611" s="1">
        <v>11.1604783535003</v>
      </c>
      <c r="X611" s="1">
        <v>869664.268713442</v>
      </c>
      <c r="Y611" s="1">
        <v>35.8223900794982</v>
      </c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D612" s="1" t="s">
        <v>33</v>
      </c>
      <c r="E612" s="1">
        <v>100.0</v>
      </c>
      <c r="F612" s="1">
        <v>30.0</v>
      </c>
      <c r="H612" s="1">
        <v>979544.765240191</v>
      </c>
      <c r="I612" s="1">
        <v>11.6097245216369</v>
      </c>
      <c r="J612" s="1">
        <v>1212724.0</v>
      </c>
      <c r="K612" s="1">
        <v>1068532.0</v>
      </c>
      <c r="L612" s="1">
        <v>1068532.0</v>
      </c>
      <c r="M612" s="1">
        <v>1429.27113556861</v>
      </c>
      <c r="N612" s="1">
        <v>64265.0</v>
      </c>
      <c r="O612" s="5">
        <f t="shared" si="58"/>
        <v>0</v>
      </c>
      <c r="Q612" s="1">
        <v>980008.528041885</v>
      </c>
      <c r="S612" s="1">
        <v>118.594963550567</v>
      </c>
      <c r="U612" s="1">
        <v>120994.401254982</v>
      </c>
      <c r="V612" s="1">
        <v>31.9470212459564</v>
      </c>
      <c r="X612" s="1">
        <v>957594.05913631</v>
      </c>
      <c r="Y612" s="1">
        <v>40.4595041275024</v>
      </c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D613" s="1" t="s">
        <v>34</v>
      </c>
      <c r="E613" s="1">
        <v>100.0</v>
      </c>
      <c r="F613" s="1">
        <v>30.0</v>
      </c>
      <c r="H613" s="1">
        <v>903965.341378807</v>
      </c>
      <c r="I613" s="1">
        <v>11.6216979026794</v>
      </c>
      <c r="J613" s="1">
        <v>993389.0</v>
      </c>
      <c r="K613" s="1">
        <v>983795.999999999</v>
      </c>
      <c r="L613" s="1">
        <v>983795.999999999</v>
      </c>
      <c r="M613" s="1">
        <v>1853.71496939659</v>
      </c>
      <c r="N613" s="1">
        <v>84013.0</v>
      </c>
      <c r="O613" s="5">
        <f t="shared" si="58"/>
        <v>0</v>
      </c>
      <c r="Q613" s="1">
        <v>904386.901712233</v>
      </c>
      <c r="S613" s="1">
        <v>147.549455165863</v>
      </c>
      <c r="U613" s="1">
        <v>120075.596731878</v>
      </c>
      <c r="V613" s="1">
        <v>16.0467920303344</v>
      </c>
      <c r="X613" s="1">
        <v>889014.550280681</v>
      </c>
      <c r="Y613" s="1">
        <v>31.2037923336029</v>
      </c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D614" s="1" t="s">
        <v>35</v>
      </c>
      <c r="E614" s="1">
        <v>100.0</v>
      </c>
      <c r="F614" s="1">
        <v>30.0</v>
      </c>
      <c r="H614" s="1">
        <v>834465.746589548</v>
      </c>
      <c r="I614" s="1">
        <v>11.6276049613952</v>
      </c>
      <c r="J614" s="1">
        <v>869605.999999999</v>
      </c>
      <c r="K614" s="1">
        <v>868496.0</v>
      </c>
      <c r="L614" s="1">
        <v>868496.0</v>
      </c>
      <c r="M614" s="1">
        <v>56.8491489887237</v>
      </c>
      <c r="N614" s="1">
        <v>2789.0</v>
      </c>
      <c r="O614" s="5">
        <f t="shared" si="58"/>
        <v>0</v>
      </c>
      <c r="Q614" s="1">
        <v>834929.825695358</v>
      </c>
      <c r="S614" s="1">
        <v>154.53295135498</v>
      </c>
      <c r="U614" s="1">
        <v>117413.740276327</v>
      </c>
      <c r="V614" s="1">
        <v>12.0677990913391</v>
      </c>
      <c r="X614" s="1">
        <v>817324.401984593</v>
      </c>
      <c r="Y614" s="1">
        <v>29.2725763320922</v>
      </c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D615" s="1" t="s">
        <v>36</v>
      </c>
      <c r="E615" s="1">
        <v>100.0</v>
      </c>
      <c r="F615" s="1">
        <v>30.0</v>
      </c>
      <c r="H615" s="1">
        <v>900985.375433099</v>
      </c>
      <c r="I615" s="1">
        <v>11.6597242355346</v>
      </c>
      <c r="J615" s="1">
        <v>932332.0</v>
      </c>
      <c r="K615" s="1">
        <v>927398.999999999</v>
      </c>
      <c r="L615" s="1">
        <v>927398.999999999</v>
      </c>
      <c r="M615" s="1">
        <v>16.537941455841</v>
      </c>
      <c r="N615" s="1">
        <v>343.0</v>
      </c>
      <c r="O615" s="5">
        <f t="shared" si="58"/>
        <v>0</v>
      </c>
      <c r="Q615" s="1">
        <v>901443.850832448</v>
      </c>
      <c r="S615" s="1">
        <v>170.704185247421</v>
      </c>
      <c r="U615" s="1">
        <v>119772.135223467</v>
      </c>
      <c r="V615" s="1">
        <v>15.0658581256866</v>
      </c>
      <c r="X615" s="1">
        <v>887031.756796867</v>
      </c>
      <c r="Y615" s="1">
        <v>32.0310359001159</v>
      </c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D616" s="1" t="s">
        <v>37</v>
      </c>
      <c r="E616" s="1">
        <v>100.0</v>
      </c>
      <c r="F616" s="1">
        <v>30.0</v>
      </c>
      <c r="H616" s="1">
        <v>907297.70054032</v>
      </c>
      <c r="I616" s="1">
        <v>11.6281313896179</v>
      </c>
      <c r="J616" s="1">
        <v>948941.0</v>
      </c>
      <c r="K616" s="1">
        <v>942721.999999999</v>
      </c>
      <c r="L616" s="1">
        <v>942721.999999999</v>
      </c>
      <c r="M616" s="1">
        <v>35.7971427440643</v>
      </c>
      <c r="N616" s="1">
        <v>1529.0</v>
      </c>
      <c r="O616" s="5">
        <f t="shared" si="58"/>
        <v>0</v>
      </c>
      <c r="Q616" s="1">
        <v>907730.102694365</v>
      </c>
      <c r="S616" s="1">
        <v>117.065268993377</v>
      </c>
      <c r="U616" s="1">
        <v>120130.909231345</v>
      </c>
      <c r="V616" s="1">
        <v>17.8287987709045</v>
      </c>
      <c r="X616" s="1">
        <v>892686.853000694</v>
      </c>
      <c r="Y616" s="1">
        <v>32.0998103618621</v>
      </c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D617" s="1" t="s">
        <v>38</v>
      </c>
      <c r="E617" s="1">
        <v>100.0</v>
      </c>
      <c r="F617" s="1">
        <v>30.0</v>
      </c>
      <c r="H617" s="1">
        <v>877286.050664268</v>
      </c>
      <c r="I617" s="1">
        <v>11.705937385559</v>
      </c>
      <c r="J617" s="1">
        <v>928274.999999999</v>
      </c>
      <c r="K617" s="1">
        <v>922804.999999999</v>
      </c>
      <c r="L617" s="1">
        <v>922804.999999999</v>
      </c>
      <c r="M617" s="1">
        <v>87.5292718410492</v>
      </c>
      <c r="N617" s="1">
        <v>4849.0</v>
      </c>
      <c r="O617" s="5">
        <f t="shared" si="58"/>
        <v>0</v>
      </c>
      <c r="Q617" s="1">
        <v>877754.038485502</v>
      </c>
      <c r="S617" s="1">
        <v>161.281444311141</v>
      </c>
      <c r="U617" s="1">
        <v>120047.00550415</v>
      </c>
      <c r="V617" s="1">
        <v>16.0289716720581</v>
      </c>
      <c r="X617" s="1">
        <v>861910.804109679</v>
      </c>
      <c r="Y617" s="1">
        <v>45.2265548706054</v>
      </c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D618" s="1" t="s">
        <v>39</v>
      </c>
      <c r="E618" s="1">
        <v>100.0</v>
      </c>
      <c r="F618" s="1">
        <v>30.0</v>
      </c>
      <c r="H618" s="1">
        <v>857864.573823887</v>
      </c>
      <c r="I618" s="1">
        <v>11.6249563694</v>
      </c>
      <c r="J618" s="1">
        <v>924194.0</v>
      </c>
      <c r="K618" s="1">
        <v>923430.999999999</v>
      </c>
      <c r="L618" s="1">
        <v>923430.999999999</v>
      </c>
      <c r="M618" s="1">
        <v>623.751000404357</v>
      </c>
      <c r="N618" s="1">
        <v>34283.0</v>
      </c>
      <c r="O618" s="5">
        <f t="shared" si="58"/>
        <v>0</v>
      </c>
      <c r="Q618" s="1">
        <v>858320.171864691</v>
      </c>
      <c r="S618" s="1">
        <v>190.428747415542</v>
      </c>
      <c r="U618" s="1">
        <v>117750.009709135</v>
      </c>
      <c r="V618" s="1">
        <v>11.598186969757</v>
      </c>
      <c r="X618" s="1">
        <v>846673.351206764</v>
      </c>
      <c r="Y618" s="1">
        <v>27.928596496582</v>
      </c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D619" s="1" t="s">
        <v>40</v>
      </c>
      <c r="E619" s="1">
        <v>100.0</v>
      </c>
      <c r="F619" s="1">
        <v>30.0</v>
      </c>
      <c r="H619" s="1">
        <v>916594.126055972</v>
      </c>
      <c r="I619" s="1">
        <v>11.7032284736633</v>
      </c>
      <c r="J619" s="1">
        <v>992448.0</v>
      </c>
      <c r="K619" s="1">
        <v>952687.999999999</v>
      </c>
      <c r="L619" s="1">
        <v>952687.999999999</v>
      </c>
      <c r="M619" s="1">
        <v>28.4747314453125</v>
      </c>
      <c r="N619" s="1">
        <v>933.0</v>
      </c>
      <c r="O619" s="5">
        <f t="shared" si="58"/>
        <v>0</v>
      </c>
      <c r="Q619" s="1">
        <v>916988.016012286</v>
      </c>
      <c r="S619" s="1">
        <v>104.061708450317</v>
      </c>
      <c r="U619" s="1">
        <v>119015.829642666</v>
      </c>
      <c r="V619" s="1">
        <v>14.0616829395294</v>
      </c>
      <c r="X619" s="1">
        <v>900245.157784774</v>
      </c>
      <c r="Y619" s="1">
        <v>32.8594453334808</v>
      </c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D620" s="1" t="s">
        <v>41</v>
      </c>
      <c r="E620" s="1">
        <v>100.0</v>
      </c>
      <c r="F620" s="1">
        <v>30.0</v>
      </c>
      <c r="H620" s="1">
        <v>947079.402863352</v>
      </c>
      <c r="I620" s="1">
        <v>11.6312716007232</v>
      </c>
      <c r="J620" s="1">
        <v>1027071.0</v>
      </c>
      <c r="K620" s="1">
        <v>989816.999999999</v>
      </c>
      <c r="L620" s="1">
        <v>989816.999999999</v>
      </c>
      <c r="M620" s="1">
        <v>54.6829755306243</v>
      </c>
      <c r="N620" s="1">
        <v>2531.0</v>
      </c>
      <c r="O620" s="5">
        <f t="shared" si="58"/>
        <v>0</v>
      </c>
      <c r="Q620" s="1">
        <v>947490.040935968</v>
      </c>
      <c r="S620" s="1">
        <v>102.74139213562</v>
      </c>
      <c r="U620" s="1">
        <v>119187.014352323</v>
      </c>
      <c r="V620" s="1">
        <v>12.5598638057708</v>
      </c>
      <c r="X620" s="1">
        <v>922263.070261</v>
      </c>
      <c r="Y620" s="1">
        <v>35.3598260879516</v>
      </c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D621" s="1" t="s">
        <v>42</v>
      </c>
      <c r="E621" s="1">
        <v>100.0</v>
      </c>
      <c r="F621" s="1">
        <v>30.0</v>
      </c>
      <c r="H621" s="1">
        <v>871304.15835376</v>
      </c>
      <c r="I621" s="1">
        <v>11.6341919898986</v>
      </c>
      <c r="J621" s="1">
        <v>930599.999999999</v>
      </c>
      <c r="K621" s="1">
        <v>908001.999999999</v>
      </c>
      <c r="L621" s="1">
        <v>908001.999999999</v>
      </c>
      <c r="M621" s="1">
        <v>42.1596662998199</v>
      </c>
      <c r="N621" s="1">
        <v>1721.0</v>
      </c>
      <c r="O621" s="5">
        <f t="shared" si="58"/>
        <v>0</v>
      </c>
      <c r="Q621" s="1">
        <v>871741.129063649</v>
      </c>
      <c r="S621" s="1">
        <v>153.822099685668</v>
      </c>
      <c r="U621" s="1">
        <v>119332.674241436</v>
      </c>
      <c r="V621" s="1">
        <v>37.5568432807922</v>
      </c>
      <c r="X621" s="1">
        <v>853381.50714358</v>
      </c>
      <c r="Y621" s="1">
        <v>42.1249701976776</v>
      </c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D622" s="1" t="s">
        <v>43</v>
      </c>
      <c r="E622" s="1">
        <v>100.0</v>
      </c>
      <c r="F622" s="1">
        <v>30.0</v>
      </c>
      <c r="H622" s="1">
        <v>894938.729779012</v>
      </c>
      <c r="I622" s="1">
        <v>11.6345989704132</v>
      </c>
      <c r="J622" s="1">
        <v>949292.0</v>
      </c>
      <c r="K622" s="1">
        <v>949291.999999999</v>
      </c>
      <c r="L622" s="1">
        <v>949291.999999999</v>
      </c>
      <c r="M622" s="1">
        <v>33.2731661796569</v>
      </c>
      <c r="N622" s="1">
        <v>1487.0</v>
      </c>
      <c r="O622" s="5">
        <f t="shared" si="58"/>
        <v>0</v>
      </c>
      <c r="Q622" s="1">
        <v>895399.485416478</v>
      </c>
      <c r="S622" s="1">
        <v>195.212638139724</v>
      </c>
      <c r="U622" s="1" t="s">
        <v>46</v>
      </c>
      <c r="V622" s="1">
        <v>9.34097862243652</v>
      </c>
      <c r="X622" s="1" t="s">
        <v>46</v>
      </c>
      <c r="Y622" s="1">
        <v>8.86984205245971</v>
      </c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D623" s="1" t="s">
        <v>44</v>
      </c>
      <c r="E623" s="1">
        <v>100.0</v>
      </c>
      <c r="F623" s="1">
        <v>30.0</v>
      </c>
      <c r="H623" s="1">
        <v>897077.310995376</v>
      </c>
      <c r="I623" s="1">
        <v>11.7175412178039</v>
      </c>
      <c r="J623" s="1">
        <v>984169.999999999</v>
      </c>
      <c r="K623" s="1">
        <v>953513.0</v>
      </c>
      <c r="L623" s="1">
        <v>953513.0</v>
      </c>
      <c r="M623" s="1">
        <v>63.2612979412078</v>
      </c>
      <c r="N623" s="1">
        <v>3267.0</v>
      </c>
      <c r="O623" s="5">
        <f t="shared" si="58"/>
        <v>0</v>
      </c>
      <c r="Q623" s="1">
        <v>897437.82243672</v>
      </c>
      <c r="S623" s="1">
        <v>163.417410135269</v>
      </c>
      <c r="U623" s="1">
        <v>120128.081926261</v>
      </c>
      <c r="V623" s="1">
        <v>11.5381226539611</v>
      </c>
      <c r="X623" s="1">
        <v>884204.531684237</v>
      </c>
      <c r="Y623" s="1">
        <v>33.3632471561431</v>
      </c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D624" s="1" t="s">
        <v>45</v>
      </c>
      <c r="E624" s="1">
        <v>100.0</v>
      </c>
      <c r="F624" s="1">
        <v>30.0</v>
      </c>
      <c r="H624" s="1">
        <v>892928.12384774</v>
      </c>
      <c r="I624" s="1">
        <v>11.5846338272094</v>
      </c>
      <c r="J624" s="1">
        <v>1108231.0</v>
      </c>
      <c r="K624" s="1">
        <v>960998.999999999</v>
      </c>
      <c r="L624" s="1">
        <v>960998.999999999</v>
      </c>
      <c r="M624" s="1">
        <v>113.661977291107</v>
      </c>
      <c r="N624" s="1">
        <v>6083.0</v>
      </c>
      <c r="O624" s="5">
        <f t="shared" si="58"/>
        <v>0</v>
      </c>
      <c r="Q624" s="1">
        <v>893430.384187716</v>
      </c>
      <c r="S624" s="1">
        <v>155.469758987426</v>
      </c>
      <c r="U624" s="1">
        <v>121932.998382363</v>
      </c>
      <c r="V624" s="1">
        <v>12.5085294246673</v>
      </c>
      <c r="X624" s="1">
        <v>881295.825702213</v>
      </c>
      <c r="Y624" s="1">
        <v>31.2277634143829</v>
      </c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E625" s="6">
        <f t="shared" ref="E625:F625" si="59">AVERAGE(E595:E624)</f>
        <v>100</v>
      </c>
      <c r="F625" s="6">
        <f t="shared" si="59"/>
        <v>30</v>
      </c>
      <c r="H625" s="6">
        <f t="shared" ref="H625:O625" si="60">AVERAGE(H595:H624)</f>
        <v>904189.4161</v>
      </c>
      <c r="I625" s="6">
        <f t="shared" si="60"/>
        <v>11.62876654</v>
      </c>
      <c r="J625" s="6">
        <f t="shared" si="60"/>
        <v>1020083.3</v>
      </c>
      <c r="K625" s="6">
        <f t="shared" si="60"/>
        <v>963976.6</v>
      </c>
      <c r="L625" s="6">
        <f t="shared" si="60"/>
        <v>963812.3518</v>
      </c>
      <c r="M625" s="6">
        <f t="shared" si="60"/>
        <v>432.1298722</v>
      </c>
      <c r="N625" s="6">
        <f t="shared" si="60"/>
        <v>20052.13333</v>
      </c>
      <c r="O625" s="6">
        <f t="shared" si="60"/>
        <v>0.01807817433</v>
      </c>
      <c r="Q625" s="6">
        <f>AVERAGE(Q595:Q624)</f>
        <v>904613.6956</v>
      </c>
      <c r="S625" s="6">
        <f>AVERAGE(S595:S624)</f>
        <v>151.7223288</v>
      </c>
    </row>
  </sheetData>
  <conditionalFormatting sqref="M6:M35 M37:M66 M68:M97 M99:M128 M130:M159 M161:M190 M192:M221 M223:M252 M254:M265 M268:M275 M277:M283 M285:M314 M316:M345 M347:M376 M378:M407 M409:M415 M417:M438 M440:M469 M471:M500 M502:M531 M533:M561 M564:M593 M595:M624">
    <cfRule type="cellIs" dxfId="0" priority="1" operator="greaterThanOrEqual">
      <formula>3600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R2" s="1" t="s">
        <v>2</v>
      </c>
    </row>
    <row r="3">
      <c r="C3" s="6" t="s">
        <v>47</v>
      </c>
      <c r="D3" s="6" t="s">
        <v>5</v>
      </c>
      <c r="E3" s="6" t="s">
        <v>48</v>
      </c>
      <c r="F3" s="2"/>
      <c r="G3" s="6" t="s">
        <v>6</v>
      </c>
      <c r="H3" s="6" t="s">
        <v>7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49</v>
      </c>
      <c r="O3" s="6" t="s">
        <v>14</v>
      </c>
      <c r="P3" s="6" t="s">
        <v>15</v>
      </c>
      <c r="R3" s="3" t="s">
        <v>14</v>
      </c>
      <c r="S3" s="3" t="s">
        <v>15</v>
      </c>
    </row>
    <row r="4">
      <c r="C4" s="1">
        <v>50.0</v>
      </c>
      <c r="D4" s="1">
        <v>15.0</v>
      </c>
      <c r="E4" s="1">
        <v>0.0</v>
      </c>
      <c r="G4" s="1">
        <v>3497.71100198226</v>
      </c>
      <c r="H4" s="1">
        <v>4.78744077682495</v>
      </c>
      <c r="I4" s="1">
        <v>4043.78014688678</v>
      </c>
      <c r="J4" s="1">
        <v>4043.78014688678</v>
      </c>
      <c r="K4" s="1">
        <v>12.2862660884857</v>
      </c>
      <c r="L4" s="1">
        <v>1047.0</v>
      </c>
      <c r="M4" s="1">
        <f t="shared" ref="M4:M13" si="1">100*(I4-J4)/I4</f>
        <v>0</v>
      </c>
      <c r="O4" s="1">
        <v>3500.34539945796</v>
      </c>
      <c r="P4" s="1">
        <v>7.95894742012023</v>
      </c>
      <c r="R4" s="1">
        <v>3443.60269080085</v>
      </c>
      <c r="S4" s="1">
        <v>8.23812055587768</v>
      </c>
    </row>
    <row r="5">
      <c r="C5" s="1">
        <v>50.0</v>
      </c>
      <c r="D5" s="1">
        <v>15.0</v>
      </c>
      <c r="E5" s="1">
        <v>1.0</v>
      </c>
      <c r="G5" s="1">
        <v>2938.13949689883</v>
      </c>
      <c r="H5" s="1">
        <v>4.80667161941528</v>
      </c>
      <c r="I5" s="1">
        <v>3030.11475351996</v>
      </c>
      <c r="J5" s="1">
        <v>3030.11475351996</v>
      </c>
      <c r="K5" s="1">
        <v>5.00894427299499</v>
      </c>
      <c r="L5" s="1">
        <v>31.0</v>
      </c>
      <c r="M5" s="1">
        <f t="shared" si="1"/>
        <v>0</v>
      </c>
      <c r="O5" s="1">
        <v>2939.59651868967</v>
      </c>
      <c r="P5" s="1">
        <v>10.1827383041381</v>
      </c>
      <c r="R5" s="1">
        <v>2872.03785839479</v>
      </c>
      <c r="S5" s="1">
        <v>4.91649079322814</v>
      </c>
    </row>
    <row r="6">
      <c r="C6" s="1">
        <v>50.0</v>
      </c>
      <c r="D6" s="1">
        <v>15.0</v>
      </c>
      <c r="E6" s="1">
        <v>2.0</v>
      </c>
      <c r="G6" s="1">
        <v>4020.52081490668</v>
      </c>
      <c r="H6" s="1">
        <v>4.80888199806213</v>
      </c>
      <c r="I6" s="1">
        <v>4446.84543120601</v>
      </c>
      <c r="J6" s="1">
        <v>4446.84543120601</v>
      </c>
      <c r="K6" s="1">
        <v>6.93761920928955</v>
      </c>
      <c r="L6" s="1">
        <v>331.0</v>
      </c>
      <c r="M6" s="1">
        <f t="shared" si="1"/>
        <v>0</v>
      </c>
      <c r="O6" s="1">
        <v>4022.77767749302</v>
      </c>
      <c r="P6" s="1">
        <v>15.2215895652771</v>
      </c>
      <c r="R6" s="1">
        <v>3988.3623634596</v>
      </c>
      <c r="S6" s="1">
        <v>6.59507751464843</v>
      </c>
    </row>
    <row r="7">
      <c r="C7" s="1">
        <v>50.0</v>
      </c>
      <c r="D7" s="1">
        <v>15.0</v>
      </c>
      <c r="E7" s="1">
        <v>3.0</v>
      </c>
      <c r="G7" s="1">
        <v>3395.24741394763</v>
      </c>
      <c r="H7" s="1">
        <v>4.77819609642028</v>
      </c>
      <c r="I7" s="1">
        <v>3687.2599781772</v>
      </c>
      <c r="J7" s="1">
        <v>3687.2599781772</v>
      </c>
      <c r="K7" s="1">
        <v>6.00783109664917</v>
      </c>
      <c r="L7" s="1">
        <v>173.0</v>
      </c>
      <c r="M7" s="1">
        <f t="shared" si="1"/>
        <v>0</v>
      </c>
      <c r="O7" s="1">
        <v>3397.34982453972</v>
      </c>
      <c r="P7" s="1">
        <v>6.52209591865539</v>
      </c>
      <c r="R7" s="1">
        <v>3330.20864225857</v>
      </c>
      <c r="S7" s="1">
        <v>5.65559291839599</v>
      </c>
    </row>
    <row r="8">
      <c r="C8" s="1">
        <v>50.0</v>
      </c>
      <c r="D8" s="1">
        <v>15.0</v>
      </c>
      <c r="E8" s="1">
        <v>4.0</v>
      </c>
      <c r="G8" s="1">
        <v>3618.69741907245</v>
      </c>
      <c r="H8" s="1">
        <v>4.88031697273254</v>
      </c>
      <c r="I8" s="1">
        <v>4154.43240643124</v>
      </c>
      <c r="J8" s="1">
        <v>4154.43240643124</v>
      </c>
      <c r="K8" s="1">
        <v>10.8871071338653</v>
      </c>
      <c r="L8" s="1">
        <v>885.0</v>
      </c>
      <c r="M8" s="1">
        <f t="shared" si="1"/>
        <v>0</v>
      </c>
      <c r="O8" s="1">
        <v>3621.35108382888</v>
      </c>
      <c r="P8" s="1">
        <v>11.7018542289733</v>
      </c>
      <c r="R8" s="1">
        <v>3576.73634334308</v>
      </c>
      <c r="S8" s="1">
        <v>7.99395895004272</v>
      </c>
    </row>
    <row r="9">
      <c r="C9" s="1">
        <v>50.0</v>
      </c>
      <c r="D9" s="1">
        <v>15.0</v>
      </c>
      <c r="E9" s="1">
        <v>5.0</v>
      </c>
      <c r="G9" s="1">
        <v>3469.61421709563</v>
      </c>
      <c r="H9" s="1">
        <v>4.81379890441894</v>
      </c>
      <c r="I9" s="1">
        <v>4182.61596529719</v>
      </c>
      <c r="J9" s="1">
        <v>4182.61596529719</v>
      </c>
      <c r="K9" s="1">
        <v>32.0133395195007</v>
      </c>
      <c r="L9" s="1">
        <v>4097.0</v>
      </c>
      <c r="M9" s="1">
        <f t="shared" si="1"/>
        <v>0</v>
      </c>
      <c r="O9" s="1">
        <v>3471.72715264659</v>
      </c>
      <c r="P9" s="1">
        <v>12.2257421016693</v>
      </c>
      <c r="R9" s="1">
        <v>3420.78565038302</v>
      </c>
      <c r="S9" s="1">
        <v>4.2536768913269</v>
      </c>
    </row>
    <row r="10">
      <c r="C10" s="1">
        <v>50.0</v>
      </c>
      <c r="D10" s="1">
        <v>15.0</v>
      </c>
      <c r="E10" s="1">
        <v>6.0</v>
      </c>
      <c r="G10" s="1">
        <v>3700.58573348792</v>
      </c>
      <c r="H10" s="1">
        <v>4.79305481910705</v>
      </c>
      <c r="I10" s="1">
        <v>4357.80267701799</v>
      </c>
      <c r="J10" s="1">
        <v>4357.80267701799</v>
      </c>
      <c r="K10" s="1">
        <v>35.1853685379028</v>
      </c>
      <c r="L10" s="1">
        <v>4919.0</v>
      </c>
      <c r="M10" s="1">
        <f t="shared" si="1"/>
        <v>0</v>
      </c>
      <c r="O10" s="1">
        <v>3702.41326393743</v>
      </c>
      <c r="P10" s="1">
        <v>8.44216227531433</v>
      </c>
      <c r="R10" s="1">
        <v>3661.80767308807</v>
      </c>
      <c r="S10" s="1">
        <v>5.70122766494751</v>
      </c>
    </row>
    <row r="11">
      <c r="C11" s="1">
        <v>50.0</v>
      </c>
      <c r="D11" s="1">
        <v>15.0</v>
      </c>
      <c r="E11" s="1">
        <v>7.0</v>
      </c>
      <c r="G11" s="1">
        <v>3231.7416033188</v>
      </c>
      <c r="H11" s="1">
        <v>4.86833691596984</v>
      </c>
      <c r="I11" s="1">
        <v>3318.47402226702</v>
      </c>
      <c r="J11" s="1">
        <v>3318.47402226702</v>
      </c>
      <c r="K11" s="1">
        <v>5.1164801120758</v>
      </c>
      <c r="L11" s="1">
        <v>35.0</v>
      </c>
      <c r="M11" s="1">
        <f t="shared" si="1"/>
        <v>0</v>
      </c>
      <c r="O11" s="1">
        <v>3233.74717462037</v>
      </c>
      <c r="P11" s="1">
        <v>10.1201889514923</v>
      </c>
      <c r="R11" s="1">
        <v>3181.55948790239</v>
      </c>
      <c r="S11" s="1">
        <v>4.85309052467346</v>
      </c>
    </row>
    <row r="12">
      <c r="C12" s="1">
        <v>50.0</v>
      </c>
      <c r="D12" s="1">
        <v>15.0</v>
      </c>
      <c r="E12" s="1">
        <v>8.0</v>
      </c>
      <c r="G12" s="1">
        <v>4081.79277041729</v>
      </c>
      <c r="H12" s="1">
        <v>4.78269624710083</v>
      </c>
      <c r="I12" s="1">
        <v>4670.66135106489</v>
      </c>
      <c r="J12" s="1">
        <v>4670.66135106489</v>
      </c>
      <c r="K12" s="1">
        <v>27.2765326499938</v>
      </c>
      <c r="L12" s="1">
        <v>3237.0</v>
      </c>
      <c r="M12" s="1">
        <f t="shared" si="1"/>
        <v>0</v>
      </c>
      <c r="O12" s="1">
        <v>4084.03732334881</v>
      </c>
      <c r="P12" s="1">
        <v>8.11691617965698</v>
      </c>
      <c r="R12" s="1">
        <v>4047.38673506407</v>
      </c>
      <c r="S12" s="1">
        <v>6.57983946800231</v>
      </c>
    </row>
    <row r="13">
      <c r="C13" s="1">
        <v>50.0</v>
      </c>
      <c r="D13" s="1">
        <v>15.0</v>
      </c>
      <c r="E13" s="1">
        <v>9.0</v>
      </c>
      <c r="G13" s="1">
        <v>4021.46687206174</v>
      </c>
      <c r="H13" s="1">
        <v>4.78250217437744</v>
      </c>
      <c r="I13" s="1">
        <v>4486.23584416859</v>
      </c>
      <c r="J13" s="1">
        <v>4486.23584416859</v>
      </c>
      <c r="K13" s="1">
        <v>13.0907943248748</v>
      </c>
      <c r="L13" s="1">
        <v>1209.0</v>
      </c>
      <c r="M13" s="1">
        <f t="shared" si="1"/>
        <v>0</v>
      </c>
      <c r="O13" s="1">
        <v>4023.59916204278</v>
      </c>
      <c r="P13" s="1">
        <v>9.92796969413757</v>
      </c>
      <c r="R13" s="1">
        <v>3981.92285705263</v>
      </c>
      <c r="S13" s="1">
        <v>6.57501602172851</v>
      </c>
    </row>
    <row r="14">
      <c r="C14" s="1"/>
      <c r="D14" s="1"/>
      <c r="E14" s="1"/>
      <c r="G14" s="8">
        <f t="shared" ref="G14:M14" si="2">AVERAGE(G4:G13)</f>
        <v>3597.551734</v>
      </c>
      <c r="H14" s="8">
        <f t="shared" si="2"/>
        <v>4.810189652</v>
      </c>
      <c r="I14" s="8">
        <f t="shared" si="2"/>
        <v>4037.822258</v>
      </c>
      <c r="J14" s="8">
        <f t="shared" si="2"/>
        <v>4037.822258</v>
      </c>
      <c r="K14" s="8">
        <f t="shared" si="2"/>
        <v>15.38102829</v>
      </c>
      <c r="L14" s="8">
        <f t="shared" si="2"/>
        <v>1596.4</v>
      </c>
      <c r="M14" s="8">
        <f t="shared" si="2"/>
        <v>0</v>
      </c>
      <c r="O14" s="8">
        <f t="shared" ref="O14:P14" si="3">AVERAGE(O4:O13)</f>
        <v>3599.694458</v>
      </c>
      <c r="P14" s="8">
        <f t="shared" si="3"/>
        <v>10.04202046</v>
      </c>
      <c r="R14" s="8">
        <f t="shared" ref="R14:S14" si="4">AVERAGE(R4:R13)</f>
        <v>3550.44103</v>
      </c>
      <c r="S14" s="8">
        <f t="shared" si="4"/>
        <v>6.13620913</v>
      </c>
    </row>
    <row r="15">
      <c r="C15" s="1">
        <v>50.0</v>
      </c>
      <c r="D15" s="1">
        <v>20.0</v>
      </c>
      <c r="E15" s="1">
        <v>0.0</v>
      </c>
      <c r="G15" s="1">
        <v>6935.68864293715</v>
      </c>
      <c r="H15" s="1">
        <v>5.01876068115234</v>
      </c>
      <c r="I15" s="1">
        <v>7363.80478996963</v>
      </c>
      <c r="J15" s="1">
        <v>7363.80478996963</v>
      </c>
      <c r="K15" s="1">
        <v>9.49280858039856</v>
      </c>
      <c r="L15" s="1">
        <v>649.0</v>
      </c>
      <c r="M15" s="1">
        <f t="shared" ref="M15:M24" si="5">100*(I15-J15)/I15</f>
        <v>0</v>
      </c>
      <c r="O15" s="1">
        <v>6938.9970842471</v>
      </c>
      <c r="P15" s="1">
        <v>9.36619138717651</v>
      </c>
      <c r="R15" s="1">
        <v>6731.58829097163</v>
      </c>
      <c r="S15" s="1">
        <v>7.69681334495544</v>
      </c>
    </row>
    <row r="16">
      <c r="C16" s="1">
        <v>50.0</v>
      </c>
      <c r="D16" s="1">
        <v>20.0</v>
      </c>
      <c r="E16" s="1">
        <v>1.0</v>
      </c>
      <c r="G16" s="1">
        <v>5199.66566327064</v>
      </c>
      <c r="H16" s="1">
        <v>4.84066414833068</v>
      </c>
      <c r="I16" s="1">
        <v>5210.93394981096</v>
      </c>
      <c r="J16" s="1">
        <v>5210.93394981096</v>
      </c>
      <c r="K16" s="1">
        <v>5.05290126800537</v>
      </c>
      <c r="L16" s="1">
        <v>39.0</v>
      </c>
      <c r="M16" s="1">
        <f t="shared" si="5"/>
        <v>0</v>
      </c>
      <c r="O16" s="1">
        <v>5201.28363966196</v>
      </c>
      <c r="P16" s="1">
        <v>7.40447235107421</v>
      </c>
      <c r="R16" s="1">
        <v>5132.32621682931</v>
      </c>
      <c r="S16" s="1">
        <v>5.82999467849731</v>
      </c>
    </row>
    <row r="17">
      <c r="C17" s="1">
        <v>50.0</v>
      </c>
      <c r="D17" s="1">
        <v>20.0</v>
      </c>
      <c r="E17" s="1">
        <v>2.0</v>
      </c>
      <c r="G17" s="1">
        <v>7328.77627827775</v>
      </c>
      <c r="H17" s="1">
        <v>4.88309025764465</v>
      </c>
      <c r="I17" s="1">
        <v>7592.90254629664</v>
      </c>
      <c r="J17" s="1">
        <v>7592.90254629664</v>
      </c>
      <c r="K17" s="1">
        <v>5.46552276611328</v>
      </c>
      <c r="L17" s="1">
        <v>95.0</v>
      </c>
      <c r="M17" s="1">
        <f t="shared" si="5"/>
        <v>0</v>
      </c>
      <c r="O17" s="1">
        <v>7331.10207963075</v>
      </c>
      <c r="P17" s="1">
        <v>22.8651015758514</v>
      </c>
      <c r="R17" s="1">
        <v>7229.09655479049</v>
      </c>
      <c r="S17" s="1">
        <v>9.558349609375</v>
      </c>
    </row>
    <row r="18">
      <c r="C18" s="1">
        <v>50.0</v>
      </c>
      <c r="D18" s="1">
        <v>20.0</v>
      </c>
      <c r="E18" s="1">
        <v>3.0</v>
      </c>
      <c r="G18" s="1">
        <v>6370.76559752692</v>
      </c>
      <c r="H18" s="1">
        <v>4.87734293937683</v>
      </c>
      <c r="I18" s="1">
        <v>6611.04235072031</v>
      </c>
      <c r="J18" s="1">
        <v>6611.04235072031</v>
      </c>
      <c r="K18" s="1">
        <v>6.05122351646423</v>
      </c>
      <c r="L18" s="1">
        <v>177.0</v>
      </c>
      <c r="M18" s="1">
        <f t="shared" si="5"/>
        <v>0</v>
      </c>
      <c r="O18" s="1">
        <v>6372.95016239762</v>
      </c>
      <c r="P18" s="1">
        <v>9.60305428504943</v>
      </c>
      <c r="R18" s="1">
        <v>6246.03440260148</v>
      </c>
      <c r="S18" s="1">
        <v>6.20896410942077</v>
      </c>
    </row>
    <row r="19">
      <c r="C19" s="1">
        <v>50.0</v>
      </c>
      <c r="D19" s="1">
        <v>20.0</v>
      </c>
      <c r="E19" s="1">
        <v>4.0</v>
      </c>
      <c r="G19" s="1">
        <v>6920.22223472024</v>
      </c>
      <c r="H19" s="1">
        <v>4.880539894104</v>
      </c>
      <c r="I19" s="1">
        <v>7266.23091109195</v>
      </c>
      <c r="J19" s="1">
        <v>7266.23091109195</v>
      </c>
      <c r="K19" s="1">
        <v>5.91043281555175</v>
      </c>
      <c r="L19" s="1">
        <v>175.0</v>
      </c>
      <c r="M19" s="1">
        <f t="shared" si="5"/>
        <v>0</v>
      </c>
      <c r="O19" s="1">
        <v>6923.56127734797</v>
      </c>
      <c r="P19" s="1">
        <v>14.6520824432373</v>
      </c>
      <c r="R19" s="1">
        <v>6847.59706902878</v>
      </c>
      <c r="S19" s="1">
        <v>8.12892341613769</v>
      </c>
    </row>
    <row r="20">
      <c r="C20" s="1">
        <v>50.0</v>
      </c>
      <c r="D20" s="1">
        <v>20.0</v>
      </c>
      <c r="E20" s="1">
        <v>5.0</v>
      </c>
      <c r="G20" s="1">
        <v>6657.30942652052</v>
      </c>
      <c r="H20" s="1">
        <v>4.87277579307556</v>
      </c>
      <c r="I20" s="1">
        <v>7150.74032603588</v>
      </c>
      <c r="J20" s="1">
        <v>7150.74032603588</v>
      </c>
      <c r="K20" s="1">
        <v>6.46947789192199</v>
      </c>
      <c r="L20" s="1">
        <v>279.0</v>
      </c>
      <c r="M20" s="1">
        <f t="shared" si="5"/>
        <v>0</v>
      </c>
      <c r="O20" s="1">
        <v>6659.07304670997</v>
      </c>
      <c r="P20" s="1">
        <v>14.5082232952117</v>
      </c>
      <c r="R20" s="1">
        <v>6584.89441427878</v>
      </c>
      <c r="S20" s="1">
        <v>5.10904502868652</v>
      </c>
    </row>
    <row r="21">
      <c r="C21" s="1">
        <v>50.0</v>
      </c>
      <c r="D21" s="1">
        <v>20.0</v>
      </c>
      <c r="E21" s="1">
        <v>6.0</v>
      </c>
      <c r="G21" s="1">
        <v>6575.98713476511</v>
      </c>
      <c r="H21" s="1">
        <v>4.86874651908874</v>
      </c>
      <c r="I21" s="1">
        <v>7017.48665026987</v>
      </c>
      <c r="J21" s="1">
        <v>7017.48665026987</v>
      </c>
      <c r="K21" s="1">
        <v>5.96975302696228</v>
      </c>
      <c r="L21" s="1">
        <v>193.0</v>
      </c>
      <c r="M21" s="1">
        <f t="shared" si="5"/>
        <v>0</v>
      </c>
      <c r="O21" s="1">
        <v>6577.1216800179</v>
      </c>
      <c r="P21" s="1">
        <v>6.19794273376464</v>
      </c>
      <c r="R21" s="1">
        <v>6530.5339866345</v>
      </c>
      <c r="S21" s="1">
        <v>4.13566255569458</v>
      </c>
    </row>
    <row r="22">
      <c r="C22" s="1">
        <v>50.0</v>
      </c>
      <c r="D22" s="1">
        <v>20.0</v>
      </c>
      <c r="E22" s="1">
        <v>7.0</v>
      </c>
      <c r="G22" s="1">
        <v>5822.09684754929</v>
      </c>
      <c r="H22" s="1">
        <v>4.9220221042633</v>
      </c>
      <c r="I22" s="1">
        <v>5902.30439620572</v>
      </c>
      <c r="J22" s="1">
        <v>5902.30439620572</v>
      </c>
      <c r="K22" s="1">
        <v>5.38783431053161</v>
      </c>
      <c r="L22" s="1">
        <v>73.0</v>
      </c>
      <c r="M22" s="1">
        <f t="shared" si="5"/>
        <v>0</v>
      </c>
      <c r="O22" s="1">
        <v>5823.82994067121</v>
      </c>
      <c r="P22" s="1">
        <v>8.64295578002929</v>
      </c>
      <c r="R22" s="1">
        <v>5744.70362670341</v>
      </c>
      <c r="S22" s="1">
        <v>6.28876757621765</v>
      </c>
    </row>
    <row r="23">
      <c r="C23" s="1">
        <v>50.0</v>
      </c>
      <c r="D23" s="1">
        <v>20.0</v>
      </c>
      <c r="E23" s="1">
        <v>8.0</v>
      </c>
      <c r="G23" s="1">
        <v>7631.84660095954</v>
      </c>
      <c r="H23" s="1">
        <v>4.86277842521667</v>
      </c>
      <c r="I23" s="1">
        <v>7957.23360359293</v>
      </c>
      <c r="J23" s="1">
        <v>7957.23360359293</v>
      </c>
      <c r="K23" s="1">
        <v>6.91150546073913</v>
      </c>
      <c r="L23" s="1">
        <v>297.0</v>
      </c>
      <c r="M23" s="1">
        <f t="shared" si="5"/>
        <v>0</v>
      </c>
      <c r="O23" s="1">
        <v>7634.81282733452</v>
      </c>
      <c r="P23" s="1">
        <v>8.38366603851318</v>
      </c>
      <c r="R23" s="1">
        <v>7468.63902081911</v>
      </c>
      <c r="S23" s="1">
        <v>6.52504849433898</v>
      </c>
    </row>
    <row r="24">
      <c r="C24" s="1">
        <v>50.0</v>
      </c>
      <c r="D24" s="1">
        <v>20.0</v>
      </c>
      <c r="E24" s="1">
        <v>9.0</v>
      </c>
      <c r="G24" s="1">
        <v>7166.67312412383</v>
      </c>
      <c r="H24" s="1">
        <v>4.88194441795349</v>
      </c>
      <c r="I24" s="1">
        <v>7396.94559749426</v>
      </c>
      <c r="J24" s="1">
        <v>7396.94559749426</v>
      </c>
      <c r="K24" s="1">
        <v>5.48104214668273</v>
      </c>
      <c r="L24" s="1">
        <v>101.0</v>
      </c>
      <c r="M24" s="1">
        <f t="shared" si="5"/>
        <v>0</v>
      </c>
      <c r="O24" s="1">
        <v>7169.18880316661</v>
      </c>
      <c r="P24" s="1">
        <v>9.25160145759582</v>
      </c>
      <c r="R24" s="1">
        <v>7107.66176812212</v>
      </c>
      <c r="S24" s="1">
        <v>6.04703736305236</v>
      </c>
    </row>
    <row r="25">
      <c r="C25" s="1"/>
      <c r="D25" s="1"/>
      <c r="E25" s="1"/>
      <c r="G25" s="8">
        <f t="shared" ref="G25:M25" si="6">AVERAGE(G15:G24)</f>
        <v>6660.903155</v>
      </c>
      <c r="H25" s="8">
        <f t="shared" si="6"/>
        <v>4.890866518</v>
      </c>
      <c r="I25" s="8">
        <f t="shared" si="6"/>
        <v>6946.962512</v>
      </c>
      <c r="J25" s="8">
        <f t="shared" si="6"/>
        <v>6946.962512</v>
      </c>
      <c r="K25" s="8">
        <f t="shared" si="6"/>
        <v>6.219250178</v>
      </c>
      <c r="L25" s="8">
        <f t="shared" si="6"/>
        <v>207.8</v>
      </c>
      <c r="M25" s="8">
        <f t="shared" si="6"/>
        <v>0</v>
      </c>
      <c r="O25" s="8">
        <f t="shared" ref="O25:P25" si="7">AVERAGE(O15:O24)</f>
        <v>6663.192054</v>
      </c>
      <c r="P25" s="8">
        <f t="shared" si="7"/>
        <v>11.08752913</v>
      </c>
      <c r="R25" s="8">
        <f t="shared" ref="R25:S25" si="8">AVERAGE(R15:R24)</f>
        <v>6562.307535</v>
      </c>
      <c r="S25" s="8">
        <f t="shared" si="8"/>
        <v>6.552860618</v>
      </c>
    </row>
    <row r="26">
      <c r="C26" s="1">
        <v>50.0</v>
      </c>
      <c r="D26" s="1">
        <v>25.0</v>
      </c>
      <c r="E26" s="1">
        <v>0.0</v>
      </c>
      <c r="G26" s="1">
        <v>12005.1848202274</v>
      </c>
      <c r="H26" s="1">
        <v>4.98489427566528</v>
      </c>
      <c r="I26" s="1">
        <v>12181.7480825102</v>
      </c>
      <c r="J26" s="1">
        <v>12181.7480825102</v>
      </c>
      <c r="K26" s="1">
        <v>5.62982511520385</v>
      </c>
      <c r="L26" s="1">
        <v>97.0</v>
      </c>
      <c r="M26" s="1">
        <f t="shared" ref="M26:M35" si="9">100*(I26-J26)/I26</f>
        <v>0</v>
      </c>
      <c r="O26" s="1">
        <v>12009.0869164205</v>
      </c>
      <c r="P26" s="1">
        <v>12.4959034919738</v>
      </c>
      <c r="R26" s="1">
        <v>11638.6558937792</v>
      </c>
      <c r="S26" s="1">
        <v>7.53268647193908</v>
      </c>
    </row>
    <row r="27">
      <c r="C27" s="1">
        <v>50.0</v>
      </c>
      <c r="D27" s="1">
        <v>25.0</v>
      </c>
      <c r="E27" s="1">
        <v>1.0</v>
      </c>
      <c r="G27" s="1">
        <v>8565.19017635557</v>
      </c>
      <c r="H27" s="1">
        <v>4.99778723716735</v>
      </c>
      <c r="I27" s="1">
        <v>8571.47194952025</v>
      </c>
      <c r="J27" s="1">
        <v>8571.47194952025</v>
      </c>
      <c r="K27" s="1">
        <v>5.2523500919342</v>
      </c>
      <c r="L27" s="1">
        <v>47.0</v>
      </c>
      <c r="M27" s="1">
        <f t="shared" si="9"/>
        <v>0</v>
      </c>
      <c r="O27" s="1">
        <v>8566.13525410975</v>
      </c>
      <c r="P27" s="1">
        <v>5.60137844085693</v>
      </c>
      <c r="R27" s="1">
        <v>8521.47460624548</v>
      </c>
      <c r="S27" s="1">
        <v>15.1421823501586</v>
      </c>
    </row>
    <row r="28">
      <c r="C28" s="1">
        <v>50.0</v>
      </c>
      <c r="D28" s="1">
        <v>25.0</v>
      </c>
      <c r="E28" s="1">
        <v>2.0</v>
      </c>
      <c r="G28" s="1">
        <v>12267.8728498966</v>
      </c>
      <c r="H28" s="1">
        <v>4.99186778068542</v>
      </c>
      <c r="I28" s="1">
        <v>12482.4033204634</v>
      </c>
      <c r="J28" s="1">
        <v>12482.4033204634</v>
      </c>
      <c r="K28" s="1">
        <v>5.47668743133544</v>
      </c>
      <c r="L28" s="1">
        <v>75.0</v>
      </c>
      <c r="M28" s="1">
        <f t="shared" si="9"/>
        <v>0</v>
      </c>
      <c r="O28" s="1">
        <v>12270.8442778437</v>
      </c>
      <c r="P28" s="1">
        <v>12.0762028694152</v>
      </c>
      <c r="R28" s="1">
        <v>12005.9263907552</v>
      </c>
      <c r="S28" s="1">
        <v>7.36489248275756</v>
      </c>
    </row>
    <row r="29">
      <c r="C29" s="1">
        <v>50.0</v>
      </c>
      <c r="D29" s="1">
        <v>25.0</v>
      </c>
      <c r="E29" s="1">
        <v>3.0</v>
      </c>
      <c r="G29" s="1">
        <v>10850.3163542566</v>
      </c>
      <c r="H29" s="1">
        <v>5.02336478233337</v>
      </c>
      <c r="I29" s="1">
        <v>11062.3100308526</v>
      </c>
      <c r="J29" s="1">
        <v>11062.3100308526</v>
      </c>
      <c r="K29" s="1">
        <v>5.97391057014465</v>
      </c>
      <c r="L29" s="1">
        <v>153.0</v>
      </c>
      <c r="M29" s="1">
        <f t="shared" si="9"/>
        <v>0</v>
      </c>
      <c r="O29" s="1">
        <v>10853.2122701213</v>
      </c>
      <c r="P29" s="1">
        <v>10.0091989040374</v>
      </c>
      <c r="R29" s="1">
        <v>10607.7021264865</v>
      </c>
      <c r="S29" s="1">
        <v>5.4837679862976</v>
      </c>
    </row>
    <row r="30">
      <c r="C30" s="1">
        <v>50.0</v>
      </c>
      <c r="D30" s="1">
        <v>25.0</v>
      </c>
      <c r="E30" s="1">
        <v>4.0</v>
      </c>
      <c r="G30" s="1">
        <v>12093.0708656477</v>
      </c>
      <c r="H30" s="1">
        <v>5.01402473449707</v>
      </c>
      <c r="I30" s="1">
        <v>12326.5104221508</v>
      </c>
      <c r="J30" s="1">
        <v>12326.5104221508</v>
      </c>
      <c r="K30" s="1">
        <v>5.46114182472229</v>
      </c>
      <c r="L30" s="1">
        <v>69.0</v>
      </c>
      <c r="M30" s="1">
        <f t="shared" si="9"/>
        <v>0</v>
      </c>
      <c r="O30" s="1">
        <v>12097.2643729518</v>
      </c>
      <c r="P30" s="1">
        <v>13.4103093147277</v>
      </c>
      <c r="R30" s="1">
        <v>11841.1105115146</v>
      </c>
      <c r="S30" s="1">
        <v>9.13320112228393</v>
      </c>
    </row>
    <row r="31">
      <c r="C31" s="1">
        <v>50.0</v>
      </c>
      <c r="D31" s="1">
        <v>25.0</v>
      </c>
      <c r="E31" s="1">
        <v>5.0</v>
      </c>
      <c r="G31" s="1">
        <v>11767.3766183227</v>
      </c>
      <c r="H31" s="1">
        <v>4.99764156341552</v>
      </c>
      <c r="I31" s="1">
        <v>11980.0685942962</v>
      </c>
      <c r="J31" s="1">
        <v>11980.0685942962</v>
      </c>
      <c r="K31" s="1">
        <v>5.57925844192504</v>
      </c>
      <c r="L31" s="1">
        <v>107.0</v>
      </c>
      <c r="M31" s="1">
        <f t="shared" si="9"/>
        <v>0</v>
      </c>
      <c r="O31" s="1">
        <v>11771.0809412418</v>
      </c>
      <c r="P31" s="1">
        <v>18.1117293834686</v>
      </c>
      <c r="R31" s="1">
        <v>11593.1737514571</v>
      </c>
      <c r="S31" s="1">
        <v>4.48353886604309</v>
      </c>
    </row>
    <row r="32">
      <c r="C32" s="1">
        <v>50.0</v>
      </c>
      <c r="D32" s="1">
        <v>25.0</v>
      </c>
      <c r="E32" s="1">
        <v>6.0</v>
      </c>
      <c r="G32" s="1">
        <v>11429.7952454941</v>
      </c>
      <c r="H32" s="1">
        <v>5.0227632522583</v>
      </c>
      <c r="I32" s="1">
        <v>11576.5060901883</v>
      </c>
      <c r="J32" s="1">
        <v>11576.5060901883</v>
      </c>
      <c r="K32" s="1">
        <v>5.3456847667694</v>
      </c>
      <c r="L32" s="1">
        <v>57.0</v>
      </c>
      <c r="M32" s="1">
        <f t="shared" si="9"/>
        <v>0</v>
      </c>
      <c r="O32" s="1">
        <v>11432.4965205986</v>
      </c>
      <c r="P32" s="1">
        <v>11.3635289669036</v>
      </c>
      <c r="R32" s="1">
        <v>11294.5876094551</v>
      </c>
      <c r="S32" s="1">
        <v>4.38363194465637</v>
      </c>
    </row>
    <row r="33">
      <c r="C33" s="1">
        <v>50.0</v>
      </c>
      <c r="D33" s="1">
        <v>25.0</v>
      </c>
      <c r="E33" s="1">
        <v>7.0</v>
      </c>
      <c r="G33" s="1">
        <v>9808.83377920233</v>
      </c>
      <c r="H33" s="1">
        <v>4.9684293270111</v>
      </c>
      <c r="I33" s="1">
        <v>9816.47174684349</v>
      </c>
      <c r="J33" s="1">
        <v>9816.47174684349</v>
      </c>
      <c r="K33" s="1">
        <v>5.21057343482971</v>
      </c>
      <c r="L33" s="1">
        <v>47.0</v>
      </c>
      <c r="M33" s="1">
        <f t="shared" si="9"/>
        <v>0</v>
      </c>
      <c r="O33" s="1">
        <v>9810.86642545769</v>
      </c>
      <c r="P33" s="1">
        <v>9.43466901779174</v>
      </c>
      <c r="R33" s="1">
        <v>9671.16725810791</v>
      </c>
      <c r="S33" s="1">
        <v>8.55350971221923</v>
      </c>
    </row>
    <row r="34">
      <c r="C34" s="1">
        <v>50.0</v>
      </c>
      <c r="D34" s="1">
        <v>25.0</v>
      </c>
      <c r="E34" s="1">
        <v>8.0</v>
      </c>
      <c r="G34" s="1">
        <v>12656.6617482079</v>
      </c>
      <c r="H34" s="1">
        <v>4.96597862243652</v>
      </c>
      <c r="I34" s="1">
        <v>12951.0552118534</v>
      </c>
      <c r="J34" s="1">
        <v>12951.0552118534</v>
      </c>
      <c r="K34" s="1">
        <v>6.30015110969543</v>
      </c>
      <c r="L34" s="1">
        <v>197.0</v>
      </c>
      <c r="M34" s="1">
        <f t="shared" si="9"/>
        <v>0</v>
      </c>
      <c r="O34" s="1">
        <v>12660.0421173189</v>
      </c>
      <c r="P34" s="1">
        <v>9.68201756477356</v>
      </c>
      <c r="R34" s="1">
        <v>12409.874026143</v>
      </c>
      <c r="S34" s="1">
        <v>8.42339134216308</v>
      </c>
    </row>
    <row r="35">
      <c r="C35" s="1">
        <v>50.0</v>
      </c>
      <c r="D35" s="1">
        <v>25.0</v>
      </c>
      <c r="E35" s="1">
        <v>9.0</v>
      </c>
      <c r="G35" s="1">
        <v>12058.4572015377</v>
      </c>
      <c r="H35" s="1">
        <v>5.08274340629577</v>
      </c>
      <c r="I35" s="1">
        <v>12137.7193253219</v>
      </c>
      <c r="J35" s="1">
        <v>12137.7193253219</v>
      </c>
      <c r="K35" s="1">
        <v>5.47479224205017</v>
      </c>
      <c r="L35" s="1">
        <v>69.0</v>
      </c>
      <c r="M35" s="1">
        <f t="shared" si="9"/>
        <v>0</v>
      </c>
      <c r="O35" s="1">
        <v>12062.0808958126</v>
      </c>
      <c r="P35" s="1">
        <v>11.9395577907562</v>
      </c>
      <c r="R35" s="1">
        <v>11771.1633919141</v>
      </c>
      <c r="S35" s="1">
        <v>8.04478049278259</v>
      </c>
    </row>
    <row r="36">
      <c r="C36" s="1"/>
      <c r="D36" s="1"/>
      <c r="E36" s="1"/>
      <c r="G36" s="8">
        <f t="shared" ref="G36:M36" si="10">AVERAGE(G26:G35)</f>
        <v>11350.27597</v>
      </c>
      <c r="H36" s="8">
        <f t="shared" si="10"/>
        <v>5.004949498</v>
      </c>
      <c r="I36" s="8">
        <f t="shared" si="10"/>
        <v>11508.62648</v>
      </c>
      <c r="J36" s="8">
        <f t="shared" si="10"/>
        <v>11508.62648</v>
      </c>
      <c r="K36" s="8">
        <f t="shared" si="10"/>
        <v>5.570437503</v>
      </c>
      <c r="L36" s="8">
        <f t="shared" si="10"/>
        <v>91.8</v>
      </c>
      <c r="M36" s="8">
        <f t="shared" si="10"/>
        <v>0</v>
      </c>
      <c r="O36" s="8">
        <f t="shared" ref="O36:P36" si="11">AVERAGE(O26:O35)</f>
        <v>11353.311</v>
      </c>
      <c r="P36" s="8">
        <f t="shared" si="11"/>
        <v>11.41244957</v>
      </c>
      <c r="R36" s="8">
        <f t="shared" ref="R36:S36" si="12">AVERAGE(R26:R35)</f>
        <v>11135.48356</v>
      </c>
      <c r="S36" s="8">
        <f t="shared" si="12"/>
        <v>7.854558277</v>
      </c>
    </row>
    <row r="37">
      <c r="C37" s="1">
        <v>50.0</v>
      </c>
      <c r="D37" s="1">
        <v>30.0</v>
      </c>
      <c r="E37" s="1">
        <v>0.0</v>
      </c>
      <c r="G37" s="1">
        <v>18791.3130794555</v>
      </c>
      <c r="H37" s="1">
        <v>5.15488028526306</v>
      </c>
      <c r="I37" s="1">
        <v>18850.7058747975</v>
      </c>
      <c r="J37" s="1">
        <v>18850.7058747975</v>
      </c>
      <c r="K37" s="1">
        <v>5.49755668640136</v>
      </c>
      <c r="L37" s="1">
        <v>59.0</v>
      </c>
      <c r="M37" s="1">
        <f t="shared" ref="M37:M46" si="13">100*(I37-J37)/I37</f>
        <v>0</v>
      </c>
      <c r="O37" s="1">
        <v>18794.6241934235</v>
      </c>
      <c r="P37" s="1">
        <v>9.96322798728942</v>
      </c>
      <c r="R37" s="1">
        <v>18324.1726084063</v>
      </c>
      <c r="S37" s="1">
        <v>5.45651698112487</v>
      </c>
    </row>
    <row r="38">
      <c r="C38" s="1">
        <v>50.0</v>
      </c>
      <c r="D38" s="1">
        <v>30.0</v>
      </c>
      <c r="E38" s="1">
        <v>1.0</v>
      </c>
      <c r="G38" s="1">
        <v>13522.7112245621</v>
      </c>
      <c r="H38" s="1">
        <v>5.25191855430603</v>
      </c>
      <c r="I38" s="1">
        <v>13522.7115137173</v>
      </c>
      <c r="J38" s="1">
        <v>13522.7115137173</v>
      </c>
      <c r="K38" s="1">
        <v>5.25864148139953</v>
      </c>
      <c r="L38" s="1">
        <v>3.0</v>
      </c>
      <c r="M38" s="1">
        <f t="shared" si="13"/>
        <v>0</v>
      </c>
      <c r="O38" s="1">
        <v>13522.7158598632</v>
      </c>
      <c r="P38" s="1">
        <v>3.10502505302429</v>
      </c>
      <c r="R38" s="1">
        <v>13522.1255081804</v>
      </c>
      <c r="S38" s="1">
        <v>15.7449204921722</v>
      </c>
    </row>
    <row r="39">
      <c r="C39" s="1">
        <v>50.0</v>
      </c>
      <c r="D39" s="1">
        <v>30.0</v>
      </c>
      <c r="E39" s="1">
        <v>2.0</v>
      </c>
      <c r="G39" s="1">
        <v>18955.9216023072</v>
      </c>
      <c r="H39" s="1">
        <v>5.17858242988586</v>
      </c>
      <c r="I39" s="1">
        <v>19004.1883267046</v>
      </c>
      <c r="J39" s="1">
        <v>19004.1883267046</v>
      </c>
      <c r="K39" s="1">
        <v>5.54437184333801</v>
      </c>
      <c r="L39" s="1">
        <v>61.0</v>
      </c>
      <c r="M39" s="1">
        <f t="shared" si="13"/>
        <v>0</v>
      </c>
      <c r="O39" s="1">
        <v>18959.7355098573</v>
      </c>
      <c r="P39" s="1">
        <v>13.5525720119476</v>
      </c>
      <c r="R39" s="1">
        <v>18501.3781138242</v>
      </c>
      <c r="S39" s="1">
        <v>6.80560803413391</v>
      </c>
    </row>
    <row r="40">
      <c r="C40" s="1">
        <v>50.0</v>
      </c>
      <c r="D40" s="1">
        <v>30.0</v>
      </c>
      <c r="E40" s="1">
        <v>3.0</v>
      </c>
      <c r="G40" s="1">
        <v>16950.3646594005</v>
      </c>
      <c r="H40" s="1">
        <v>5.18941569328308</v>
      </c>
      <c r="I40" s="1">
        <v>16970.9232977496</v>
      </c>
      <c r="J40" s="1">
        <v>16970.9232977496</v>
      </c>
      <c r="K40" s="1">
        <v>5.50925135612487</v>
      </c>
      <c r="L40" s="1">
        <v>59.0</v>
      </c>
      <c r="M40" s="1">
        <f t="shared" si="13"/>
        <v>0</v>
      </c>
      <c r="O40" s="1">
        <v>16952.44913909</v>
      </c>
      <c r="P40" s="1">
        <v>12.1232721805572</v>
      </c>
      <c r="R40" s="1">
        <v>16680.7073344863</v>
      </c>
      <c r="S40" s="1">
        <v>9.18159222602844</v>
      </c>
    </row>
    <row r="41">
      <c r="C41" s="1">
        <v>50.0</v>
      </c>
      <c r="D41" s="1">
        <v>30.0</v>
      </c>
      <c r="E41" s="1">
        <v>4.0</v>
      </c>
      <c r="G41" s="1">
        <v>19130.5780240452</v>
      </c>
      <c r="H41" s="1">
        <v>5.14443755149841</v>
      </c>
      <c r="I41" s="1">
        <v>19229.1917561754</v>
      </c>
      <c r="J41" s="1">
        <v>19229.1917561754</v>
      </c>
      <c r="K41" s="1">
        <v>5.48252296447753</v>
      </c>
      <c r="L41" s="1">
        <v>57.0</v>
      </c>
      <c r="M41" s="1">
        <f t="shared" si="13"/>
        <v>0</v>
      </c>
      <c r="O41" s="1">
        <v>19136.09518823</v>
      </c>
      <c r="P41" s="1">
        <v>13.1568322181701</v>
      </c>
      <c r="R41" s="1">
        <v>18706.9994594141</v>
      </c>
      <c r="S41" s="1">
        <v>7.0542562007904</v>
      </c>
    </row>
    <row r="42">
      <c r="C42" s="1">
        <v>50.0</v>
      </c>
      <c r="D42" s="1">
        <v>30.0</v>
      </c>
      <c r="E42" s="1">
        <v>5.0</v>
      </c>
      <c r="G42" s="1">
        <v>19005.5387381836</v>
      </c>
      <c r="H42" s="1">
        <v>5.30383825302124</v>
      </c>
      <c r="I42" s="1">
        <v>19023.6931851541</v>
      </c>
      <c r="J42" s="1">
        <v>19023.6931851541</v>
      </c>
      <c r="K42" s="1">
        <v>5.62466835975647</v>
      </c>
      <c r="L42" s="1">
        <v>61.0</v>
      </c>
      <c r="M42" s="1">
        <f t="shared" si="13"/>
        <v>0</v>
      </c>
      <c r="O42" s="1">
        <v>19006.3035903205</v>
      </c>
      <c r="P42" s="1">
        <v>7.87005400657653</v>
      </c>
      <c r="R42" s="1">
        <v>18750.3001215026</v>
      </c>
      <c r="S42" s="1">
        <v>9.3643045425415</v>
      </c>
    </row>
    <row r="43">
      <c r="C43" s="1">
        <v>50.0</v>
      </c>
      <c r="D43" s="1">
        <v>30.0</v>
      </c>
      <c r="E43" s="1">
        <v>6.0</v>
      </c>
      <c r="G43" s="1">
        <v>18288.6941625703</v>
      </c>
      <c r="H43" s="1">
        <v>5.13626027107238</v>
      </c>
      <c r="I43" s="1">
        <v>18421.4269860118</v>
      </c>
      <c r="J43" s="1">
        <v>18421.4269860118</v>
      </c>
      <c r="K43" s="1">
        <v>5.50223207473754</v>
      </c>
      <c r="L43" s="1">
        <v>63.0</v>
      </c>
      <c r="M43" s="1">
        <f t="shared" si="13"/>
        <v>0</v>
      </c>
      <c r="O43" s="1">
        <v>18290.6797733334</v>
      </c>
      <c r="P43" s="1">
        <v>12.8922560214996</v>
      </c>
      <c r="R43" s="1">
        <v>18041.6019100745</v>
      </c>
      <c r="S43" s="1">
        <v>7.06091117858886</v>
      </c>
    </row>
    <row r="44">
      <c r="C44" s="1">
        <v>50.0</v>
      </c>
      <c r="D44" s="1">
        <v>30.0</v>
      </c>
      <c r="E44" s="1">
        <v>7.0</v>
      </c>
      <c r="G44" s="1">
        <v>15371.3930369005</v>
      </c>
      <c r="H44" s="1">
        <v>5.11087012290954</v>
      </c>
      <c r="I44" s="1">
        <v>15372.7041683353</v>
      </c>
      <c r="J44" s="1">
        <v>15372.7041683353</v>
      </c>
      <c r="K44" s="1">
        <v>5.43743729591369</v>
      </c>
      <c r="L44" s="1">
        <v>59.0</v>
      </c>
      <c r="M44" s="1">
        <f t="shared" si="13"/>
        <v>0</v>
      </c>
      <c r="O44" s="1">
        <v>15372.5816358014</v>
      </c>
      <c r="P44" s="1">
        <v>6.87447571754455</v>
      </c>
      <c r="R44" s="1">
        <v>15234.3559538073</v>
      </c>
      <c r="S44" s="1">
        <v>19.6359088420867</v>
      </c>
    </row>
    <row r="45">
      <c r="C45" s="1">
        <v>50.0</v>
      </c>
      <c r="D45" s="1">
        <v>30.0</v>
      </c>
      <c r="E45" s="1">
        <v>8.0</v>
      </c>
      <c r="G45" s="1">
        <v>19366.1932515457</v>
      </c>
      <c r="H45" s="1">
        <v>5.15274548530578</v>
      </c>
      <c r="I45" s="1">
        <v>19475.396925778</v>
      </c>
      <c r="J45" s="1">
        <v>19475.396925778</v>
      </c>
      <c r="K45" s="1">
        <v>5.5676634311676</v>
      </c>
      <c r="L45" s="1">
        <v>71.0</v>
      </c>
      <c r="M45" s="1">
        <f t="shared" si="13"/>
        <v>0</v>
      </c>
      <c r="O45" s="1">
        <v>19369.3668181617</v>
      </c>
      <c r="P45" s="1">
        <v>11.0128157138824</v>
      </c>
      <c r="R45" s="1">
        <v>19029.4265516142</v>
      </c>
      <c r="S45" s="1">
        <v>6.72101974487304</v>
      </c>
    </row>
    <row r="46">
      <c r="C46" s="1">
        <v>50.0</v>
      </c>
      <c r="D46" s="1">
        <v>30.0</v>
      </c>
      <c r="E46" s="1">
        <v>9.0</v>
      </c>
      <c r="G46" s="1">
        <v>18569.7841925592</v>
      </c>
      <c r="H46" s="1">
        <v>5.1398446559906</v>
      </c>
      <c r="I46" s="1">
        <v>18569.7847275632</v>
      </c>
      <c r="J46" s="1">
        <v>18569.7847275632</v>
      </c>
      <c r="K46" s="1">
        <v>5.36141347885131</v>
      </c>
      <c r="L46" s="1">
        <v>41.0</v>
      </c>
      <c r="M46" s="1">
        <f t="shared" si="13"/>
        <v>0</v>
      </c>
      <c r="O46" s="1">
        <v>18569.7861652491</v>
      </c>
      <c r="P46" s="1">
        <v>3.6554889678955</v>
      </c>
      <c r="R46" s="1">
        <v>18255.3969875199</v>
      </c>
      <c r="S46" s="1">
        <v>9.3713309764862</v>
      </c>
    </row>
    <row r="47">
      <c r="C47" s="1"/>
      <c r="D47" s="1"/>
      <c r="E47" s="1"/>
      <c r="G47" s="8">
        <f t="shared" ref="G47:M47" si="14">AVERAGE(G37:G46)</f>
        <v>17795.2492</v>
      </c>
      <c r="H47" s="8">
        <f t="shared" si="14"/>
        <v>5.17627933</v>
      </c>
      <c r="I47" s="8">
        <f t="shared" si="14"/>
        <v>17844.07268</v>
      </c>
      <c r="J47" s="8">
        <f t="shared" si="14"/>
        <v>17844.07268</v>
      </c>
      <c r="K47" s="8">
        <f t="shared" si="14"/>
        <v>5.478575897</v>
      </c>
      <c r="L47" s="8">
        <f t="shared" si="14"/>
        <v>53.4</v>
      </c>
      <c r="M47" s="8">
        <f t="shared" si="14"/>
        <v>0</v>
      </c>
      <c r="O47" s="8">
        <f t="shared" ref="O47:P47" si="15">AVERAGE(O37:O46)</f>
        <v>17797.43379</v>
      </c>
      <c r="P47" s="8">
        <f t="shared" si="15"/>
        <v>9.420601988</v>
      </c>
      <c r="R47" s="8">
        <f t="shared" ref="R47:S47" si="16">AVERAGE(R37:R46)</f>
        <v>17504.64645</v>
      </c>
      <c r="S47" s="8">
        <f t="shared" si="16"/>
        <v>9.639636922</v>
      </c>
    </row>
    <row r="48">
      <c r="C48" s="1">
        <v>60.0</v>
      </c>
      <c r="D48" s="1">
        <v>15.0</v>
      </c>
      <c r="E48" s="1">
        <v>0.0</v>
      </c>
      <c r="G48" s="1">
        <v>3801.81311737861</v>
      </c>
      <c r="H48" s="1">
        <v>5.6343355178833</v>
      </c>
      <c r="I48" s="1">
        <v>4497.65010076647</v>
      </c>
      <c r="J48" s="1">
        <v>4497.65010076647</v>
      </c>
      <c r="K48" s="1">
        <v>33.2209539413452</v>
      </c>
      <c r="L48" s="1">
        <v>3461.0</v>
      </c>
      <c r="M48" s="1">
        <f t="shared" ref="M48:M57" si="17">100*(I48-J48)/I48</f>
        <v>0</v>
      </c>
      <c r="O48" s="1">
        <v>3803.76853780744</v>
      </c>
      <c r="P48" s="1">
        <v>18.1042990684509</v>
      </c>
      <c r="R48" s="1">
        <v>3764.81284242087</v>
      </c>
      <c r="S48" s="1">
        <v>11.6501896381378</v>
      </c>
    </row>
    <row r="49">
      <c r="C49" s="1">
        <v>60.0</v>
      </c>
      <c r="D49" s="1">
        <v>15.0</v>
      </c>
      <c r="E49" s="1">
        <v>1.0</v>
      </c>
      <c r="G49" s="1">
        <v>3200.03237957497</v>
      </c>
      <c r="H49" s="1">
        <v>5.60957837104797</v>
      </c>
      <c r="I49" s="1">
        <v>3721.76875782683</v>
      </c>
      <c r="J49" s="1">
        <v>3721.76875782683</v>
      </c>
      <c r="K49" s="1">
        <v>30.6285285949707</v>
      </c>
      <c r="L49" s="1">
        <v>3005.0</v>
      </c>
      <c r="M49" s="1">
        <f t="shared" si="17"/>
        <v>0</v>
      </c>
      <c r="O49" s="1">
        <v>3202.5365012164</v>
      </c>
      <c r="P49" s="1">
        <v>14.1862969398498</v>
      </c>
      <c r="R49" s="1">
        <v>3159.10150055319</v>
      </c>
      <c r="S49" s="1">
        <v>9.78920221328735</v>
      </c>
    </row>
    <row r="50">
      <c r="C50" s="1">
        <v>60.0</v>
      </c>
      <c r="D50" s="1">
        <v>15.0</v>
      </c>
      <c r="E50" s="1">
        <v>2.0</v>
      </c>
      <c r="G50" s="1">
        <v>3474.80926980458</v>
      </c>
      <c r="H50" s="1">
        <v>5.62817358970642</v>
      </c>
      <c r="I50" s="1">
        <v>4074.37355903622</v>
      </c>
      <c r="J50" s="1">
        <v>4074.37355903622</v>
      </c>
      <c r="K50" s="1">
        <v>45.8681714534759</v>
      </c>
      <c r="L50" s="1">
        <v>4669.0</v>
      </c>
      <c r="M50" s="1">
        <f t="shared" si="17"/>
        <v>0</v>
      </c>
      <c r="O50" s="1">
        <v>3477.33026417941</v>
      </c>
      <c r="P50" s="1">
        <v>14.9777996540069</v>
      </c>
      <c r="R50" s="1">
        <v>3433.69728270407</v>
      </c>
      <c r="S50" s="1">
        <v>10.4790165424346</v>
      </c>
    </row>
    <row r="51">
      <c r="C51" s="1">
        <v>60.0</v>
      </c>
      <c r="D51" s="1">
        <v>15.0</v>
      </c>
      <c r="E51" s="1">
        <v>3.0</v>
      </c>
      <c r="G51" s="1">
        <v>4146.84722890394</v>
      </c>
      <c r="H51" s="1">
        <v>5.76290225982666</v>
      </c>
      <c r="I51" s="1">
        <v>4978.33104464913</v>
      </c>
      <c r="J51" s="1">
        <v>4978.33104464913</v>
      </c>
      <c r="K51" s="1">
        <v>42.5480437278747</v>
      </c>
      <c r="L51" s="1">
        <v>4391.0</v>
      </c>
      <c r="M51" s="1">
        <f t="shared" si="17"/>
        <v>0</v>
      </c>
      <c r="O51" s="1">
        <v>4149.06680251733</v>
      </c>
      <c r="P51" s="1">
        <v>22.3714077472686</v>
      </c>
      <c r="R51" s="1">
        <v>4105.11005729977</v>
      </c>
      <c r="S51" s="1">
        <v>11.8604996204376</v>
      </c>
    </row>
    <row r="52">
      <c r="C52" s="1">
        <v>60.0</v>
      </c>
      <c r="D52" s="1">
        <v>15.0</v>
      </c>
      <c r="E52" s="1">
        <v>4.0</v>
      </c>
      <c r="G52" s="1">
        <v>3127.66798192051</v>
      </c>
      <c r="H52" s="1">
        <v>5.64546775817871</v>
      </c>
      <c r="I52" s="1">
        <v>3930.43046462922</v>
      </c>
      <c r="J52" s="1">
        <v>3930.43046462922</v>
      </c>
      <c r="K52" s="1">
        <v>40.1200478076934</v>
      </c>
      <c r="L52" s="1">
        <v>4329.0</v>
      </c>
      <c r="M52" s="1">
        <f t="shared" si="17"/>
        <v>0</v>
      </c>
      <c r="O52" s="1">
        <v>3129.8768701885</v>
      </c>
      <c r="P52" s="1">
        <v>14.887356519699</v>
      </c>
      <c r="R52" s="1">
        <v>3101.92941760559</v>
      </c>
      <c r="S52" s="1">
        <v>8.7587890625</v>
      </c>
    </row>
    <row r="53">
      <c r="C53" s="1">
        <v>60.0</v>
      </c>
      <c r="D53" s="1">
        <v>15.0</v>
      </c>
      <c r="E53" s="1">
        <v>5.0</v>
      </c>
      <c r="G53" s="1">
        <v>3361.56154043618</v>
      </c>
      <c r="H53" s="1">
        <v>5.58375191688537</v>
      </c>
      <c r="I53" s="1">
        <v>3971.05700445408</v>
      </c>
      <c r="J53" s="1">
        <v>3971.05700445408</v>
      </c>
      <c r="K53" s="1">
        <v>33.6699328422546</v>
      </c>
      <c r="L53" s="1">
        <v>3505.0</v>
      </c>
      <c r="M53" s="1">
        <f t="shared" si="17"/>
        <v>0</v>
      </c>
      <c r="O53" s="1">
        <v>3363.39254786189</v>
      </c>
      <c r="P53" s="1">
        <v>12.6064708232879</v>
      </c>
      <c r="R53" s="1">
        <v>3328.68952933841</v>
      </c>
      <c r="S53" s="1">
        <v>6.74845314025878</v>
      </c>
    </row>
    <row r="54">
      <c r="C54" s="1">
        <v>60.0</v>
      </c>
      <c r="D54" s="1">
        <v>15.0</v>
      </c>
      <c r="E54" s="1">
        <v>6.0</v>
      </c>
      <c r="G54" s="1">
        <v>3403.98695714889</v>
      </c>
      <c r="H54" s="1">
        <v>5.65054392814636</v>
      </c>
      <c r="I54" s="1">
        <v>3858.96373423841</v>
      </c>
      <c r="J54" s="1">
        <v>3858.96373423841</v>
      </c>
      <c r="K54" s="1">
        <v>15.5424344539642</v>
      </c>
      <c r="L54" s="1">
        <v>1179.0</v>
      </c>
      <c r="M54" s="1">
        <f t="shared" si="17"/>
        <v>0</v>
      </c>
      <c r="O54" s="1">
        <v>3406.43904878954</v>
      </c>
      <c r="P54" s="1">
        <v>16.6503646373748</v>
      </c>
      <c r="R54" s="1">
        <v>3357.49947875416</v>
      </c>
      <c r="S54" s="1">
        <v>10.0954060554504</v>
      </c>
    </row>
    <row r="55">
      <c r="C55" s="1">
        <v>60.0</v>
      </c>
      <c r="D55" s="1">
        <v>15.0</v>
      </c>
      <c r="E55" s="1">
        <v>7.0</v>
      </c>
      <c r="G55" s="1">
        <v>3074.39236812015</v>
      </c>
      <c r="H55" s="1">
        <v>5.57662534713745</v>
      </c>
      <c r="I55" s="1">
        <v>3579.1006185627</v>
      </c>
      <c r="J55" s="1">
        <v>3579.1006185627</v>
      </c>
      <c r="K55" s="1">
        <v>23.6731965541839</v>
      </c>
      <c r="L55" s="1">
        <v>2169.0</v>
      </c>
      <c r="M55" s="1">
        <f t="shared" si="17"/>
        <v>0</v>
      </c>
      <c r="O55" s="1">
        <v>3077.00347034691</v>
      </c>
      <c r="P55" s="1">
        <v>18.4684514999389</v>
      </c>
      <c r="R55" s="1">
        <v>3030.40453196018</v>
      </c>
      <c r="S55" s="1">
        <v>13.5267052650451</v>
      </c>
    </row>
    <row r="56">
      <c r="C56" s="1">
        <v>60.0</v>
      </c>
      <c r="D56" s="1">
        <v>15.0</v>
      </c>
      <c r="E56" s="1">
        <v>8.0</v>
      </c>
      <c r="G56" s="1">
        <v>4377.88413861877</v>
      </c>
      <c r="H56" s="1">
        <v>5.6213092803955</v>
      </c>
      <c r="I56" s="1">
        <v>4905.90164378796</v>
      </c>
      <c r="J56" s="1">
        <v>4905.90164378796</v>
      </c>
      <c r="K56" s="1">
        <v>39.4772951602935</v>
      </c>
      <c r="L56" s="1">
        <v>3945.0</v>
      </c>
      <c r="M56" s="1">
        <f t="shared" si="17"/>
        <v>0</v>
      </c>
      <c r="O56" s="1">
        <v>4380.2124403971</v>
      </c>
      <c r="P56" s="1">
        <v>16.0868906974792</v>
      </c>
      <c r="R56" s="1">
        <v>4330.33561800615</v>
      </c>
      <c r="S56" s="1">
        <v>10.1786661148071</v>
      </c>
    </row>
    <row r="57">
      <c r="C57" s="1">
        <v>60.0</v>
      </c>
      <c r="D57" s="1">
        <v>15.0</v>
      </c>
      <c r="E57" s="1">
        <v>9.0</v>
      </c>
      <c r="G57" s="1">
        <v>3230.67452506136</v>
      </c>
      <c r="H57" s="1">
        <v>5.61952137947082</v>
      </c>
      <c r="I57" s="1">
        <v>4021.48372732316</v>
      </c>
      <c r="J57" s="1">
        <v>4021.48372732316</v>
      </c>
      <c r="K57" s="1">
        <v>177.516223192214</v>
      </c>
      <c r="L57" s="1">
        <v>20301.0</v>
      </c>
      <c r="M57" s="1">
        <f t="shared" si="17"/>
        <v>0</v>
      </c>
      <c r="O57" s="1">
        <v>3233.02608124149</v>
      </c>
      <c r="P57" s="1">
        <v>19.7115876674652</v>
      </c>
      <c r="R57" s="1">
        <v>3189.8458906875</v>
      </c>
      <c r="S57" s="1">
        <v>13.1868855953216</v>
      </c>
    </row>
    <row r="58">
      <c r="C58" s="1"/>
      <c r="D58" s="1"/>
      <c r="E58" s="1"/>
      <c r="G58" s="8">
        <f t="shared" ref="G58:M58" si="18">AVERAGE(G48:G57)</f>
        <v>3519.966951</v>
      </c>
      <c r="H58" s="8">
        <f t="shared" si="18"/>
        <v>5.633220935</v>
      </c>
      <c r="I58" s="8">
        <f t="shared" si="18"/>
        <v>4153.906066</v>
      </c>
      <c r="J58" s="8">
        <f t="shared" si="18"/>
        <v>4153.906066</v>
      </c>
      <c r="K58" s="8">
        <f t="shared" si="18"/>
        <v>48.22648277</v>
      </c>
      <c r="L58" s="8">
        <f t="shared" si="18"/>
        <v>5095.4</v>
      </c>
      <c r="M58" s="8">
        <f t="shared" si="18"/>
        <v>0</v>
      </c>
      <c r="O58" s="8">
        <f t="shared" ref="O58:P58" si="19">AVERAGE(O48:O57)</f>
        <v>3522.265256</v>
      </c>
      <c r="P58" s="8">
        <f t="shared" si="19"/>
        <v>16.80509253</v>
      </c>
      <c r="R58" s="8">
        <f t="shared" ref="R58:S58" si="20">AVERAGE(R48:R57)</f>
        <v>3480.142615</v>
      </c>
      <c r="S58" s="8">
        <f t="shared" si="20"/>
        <v>10.62738132</v>
      </c>
    </row>
    <row r="59">
      <c r="C59" s="1">
        <v>60.0</v>
      </c>
      <c r="D59" s="1">
        <v>20.0</v>
      </c>
      <c r="E59" s="1">
        <v>0.0</v>
      </c>
      <c r="G59" s="1">
        <v>6691.37191557852</v>
      </c>
      <c r="H59" s="1">
        <v>5.81152057647705</v>
      </c>
      <c r="I59" s="1">
        <v>7328.16272676949</v>
      </c>
      <c r="J59" s="1">
        <v>7328.16272676949</v>
      </c>
      <c r="K59" s="1">
        <v>11.7722799777984</v>
      </c>
      <c r="L59" s="1">
        <v>813.0</v>
      </c>
      <c r="M59" s="1">
        <f t="shared" ref="M59:M68" si="21">100*(I59-J59)/I59</f>
        <v>0</v>
      </c>
      <c r="O59" s="1">
        <v>6694.08623457155</v>
      </c>
      <c r="P59" s="1">
        <v>19.3149490356445</v>
      </c>
      <c r="R59" s="1">
        <v>6632.96308890808</v>
      </c>
      <c r="S59" s="1">
        <v>9.8412697315216</v>
      </c>
    </row>
    <row r="60">
      <c r="C60" s="1">
        <v>60.0</v>
      </c>
      <c r="D60" s="1">
        <v>20.0</v>
      </c>
      <c r="E60" s="1">
        <v>1.0</v>
      </c>
      <c r="G60" s="1">
        <v>5843.67638850711</v>
      </c>
      <c r="H60" s="1">
        <v>5.70095205307006</v>
      </c>
      <c r="I60" s="1">
        <v>6129.57282725671</v>
      </c>
      <c r="J60" s="1">
        <v>6129.57282725671</v>
      </c>
      <c r="K60" s="1">
        <v>8.17131209373474</v>
      </c>
      <c r="L60" s="1">
        <v>321.0</v>
      </c>
      <c r="M60" s="1">
        <f t="shared" si="21"/>
        <v>0</v>
      </c>
      <c r="O60" s="1">
        <v>5846.64681051897</v>
      </c>
      <c r="P60" s="1">
        <v>20.8861489295959</v>
      </c>
      <c r="R60" s="1">
        <v>5733.71823359683</v>
      </c>
      <c r="S60" s="1">
        <v>10.2458252906799</v>
      </c>
    </row>
    <row r="61">
      <c r="C61" s="1">
        <v>60.0</v>
      </c>
      <c r="D61" s="1">
        <v>20.0</v>
      </c>
      <c r="E61" s="1">
        <v>2.0</v>
      </c>
      <c r="G61" s="1">
        <v>6434.58670861622</v>
      </c>
      <c r="H61" s="1">
        <v>5.84214687347412</v>
      </c>
      <c r="I61" s="1">
        <v>6901.95060421943</v>
      </c>
      <c r="J61" s="1">
        <v>6901.95060421943</v>
      </c>
      <c r="K61" s="1">
        <v>14.6144409179687</v>
      </c>
      <c r="L61" s="1">
        <v>1049.0</v>
      </c>
      <c r="M61" s="1">
        <f t="shared" si="21"/>
        <v>0</v>
      </c>
      <c r="O61" s="1">
        <v>6437.67350973151</v>
      </c>
      <c r="P61" s="1">
        <v>19.8122737407684</v>
      </c>
      <c r="R61" s="1">
        <v>6315.5617973636</v>
      </c>
      <c r="S61" s="1">
        <v>10.8736014366149</v>
      </c>
    </row>
    <row r="62">
      <c r="C62" s="1">
        <v>60.0</v>
      </c>
      <c r="D62" s="1">
        <v>20.0</v>
      </c>
      <c r="E62" s="1">
        <v>3.0</v>
      </c>
      <c r="G62" s="1">
        <v>7534.79179529377</v>
      </c>
      <c r="H62" s="1">
        <v>5.69430541992187</v>
      </c>
      <c r="I62" s="1">
        <v>8262.23148843808</v>
      </c>
      <c r="J62" s="1">
        <v>8262.23148843808</v>
      </c>
      <c r="K62" s="1">
        <v>13.5802445411682</v>
      </c>
      <c r="L62" s="1">
        <v>1019.0</v>
      </c>
      <c r="M62" s="1">
        <f t="shared" si="21"/>
        <v>0</v>
      </c>
      <c r="O62" s="1">
        <v>7537.59336517496</v>
      </c>
      <c r="P62" s="1">
        <v>17.6868069171905</v>
      </c>
      <c r="R62" s="1">
        <v>7391.40113190843</v>
      </c>
      <c r="S62" s="1">
        <v>7.89690423011779</v>
      </c>
    </row>
    <row r="63">
      <c r="C63" s="1">
        <v>60.0</v>
      </c>
      <c r="D63" s="1">
        <v>20.0</v>
      </c>
      <c r="E63" s="1">
        <v>4.0</v>
      </c>
      <c r="G63" s="1">
        <v>5914.68958684751</v>
      </c>
      <c r="H63" s="1">
        <v>5.88537335395813</v>
      </c>
      <c r="I63" s="1">
        <v>6392.96054052981</v>
      </c>
      <c r="J63" s="1">
        <v>6392.96054052981</v>
      </c>
      <c r="K63" s="1">
        <v>7.75174236297607</v>
      </c>
      <c r="L63" s="1">
        <v>257.0</v>
      </c>
      <c r="M63" s="1">
        <f t="shared" si="21"/>
        <v>0</v>
      </c>
      <c r="O63" s="1">
        <v>5918.034690769</v>
      </c>
      <c r="P63" s="1">
        <v>29.5915160179138</v>
      </c>
      <c r="R63" s="1">
        <v>5854.64520948054</v>
      </c>
      <c r="S63" s="1">
        <v>10.6832840442657</v>
      </c>
    </row>
    <row r="64">
      <c r="C64" s="1">
        <v>60.0</v>
      </c>
      <c r="D64" s="1">
        <v>20.0</v>
      </c>
      <c r="E64" s="1">
        <v>5.0</v>
      </c>
      <c r="G64" s="1">
        <v>6112.93511223886</v>
      </c>
      <c r="H64" s="1">
        <v>5.71728301048278</v>
      </c>
      <c r="I64" s="1">
        <v>6455.13519582469</v>
      </c>
      <c r="J64" s="1">
        <v>6455.13519582469</v>
      </c>
      <c r="K64" s="1">
        <v>7.0699303150177</v>
      </c>
      <c r="L64" s="1">
        <v>177.0</v>
      </c>
      <c r="M64" s="1">
        <f t="shared" si="21"/>
        <v>0</v>
      </c>
      <c r="O64" s="1">
        <v>6115.50552253517</v>
      </c>
      <c r="P64" s="1">
        <v>15.8060212135314</v>
      </c>
      <c r="R64" s="1">
        <v>6008.54637884767</v>
      </c>
      <c r="S64" s="1">
        <v>7.39051437377929</v>
      </c>
    </row>
    <row r="65">
      <c r="C65" s="1">
        <v>60.0</v>
      </c>
      <c r="D65" s="1">
        <v>20.0</v>
      </c>
      <c r="E65" s="1">
        <v>6.0</v>
      </c>
      <c r="G65" s="1">
        <v>6039.51435135757</v>
      </c>
      <c r="H65" s="1">
        <v>5.72604751586914</v>
      </c>
      <c r="I65" s="1">
        <v>6320.92626142317</v>
      </c>
      <c r="J65" s="1">
        <v>6320.92626142317</v>
      </c>
      <c r="K65" s="1">
        <v>6.43171048164367</v>
      </c>
      <c r="L65" s="1">
        <v>97.0</v>
      </c>
      <c r="M65" s="1">
        <f t="shared" si="21"/>
        <v>0</v>
      </c>
      <c r="O65" s="1">
        <v>6042.06393804784</v>
      </c>
      <c r="P65" s="1">
        <v>15.1277146339416</v>
      </c>
      <c r="R65" s="1">
        <v>5989.38541994705</v>
      </c>
      <c r="S65" s="1">
        <v>10.5102910995483</v>
      </c>
    </row>
    <row r="66">
      <c r="C66" s="1">
        <v>60.0</v>
      </c>
      <c r="D66" s="1">
        <v>20.0</v>
      </c>
      <c r="E66" s="1">
        <v>7.0</v>
      </c>
      <c r="G66" s="1">
        <v>5742.48223402116</v>
      </c>
      <c r="H66" s="1">
        <v>5.76346063613891</v>
      </c>
      <c r="I66" s="1">
        <v>6126.06894228041</v>
      </c>
      <c r="J66" s="1">
        <v>6126.06894228041</v>
      </c>
      <c r="K66" s="1">
        <v>9.32945585250854</v>
      </c>
      <c r="L66" s="1">
        <v>439.0</v>
      </c>
      <c r="M66" s="1">
        <f t="shared" si="21"/>
        <v>0</v>
      </c>
      <c r="O66" s="1">
        <v>5745.90912091743</v>
      </c>
      <c r="P66" s="1">
        <v>21.1635696887969</v>
      </c>
      <c r="R66" s="1">
        <v>5631.23584216376</v>
      </c>
      <c r="S66" s="1">
        <v>12.3945651054382</v>
      </c>
    </row>
    <row r="67">
      <c r="C67" s="1">
        <v>60.0</v>
      </c>
      <c r="D67" s="1">
        <v>20.0</v>
      </c>
      <c r="E67" s="1">
        <v>8.0</v>
      </c>
      <c r="G67" s="1">
        <v>7418.86626125016</v>
      </c>
      <c r="H67" s="1">
        <v>5.72838854789733</v>
      </c>
      <c r="I67" s="1">
        <v>7641.51020967832</v>
      </c>
      <c r="J67" s="1">
        <v>7641.51020967832</v>
      </c>
      <c r="K67" s="1">
        <v>6.60829210281372</v>
      </c>
      <c r="L67" s="1">
        <v>115.0</v>
      </c>
      <c r="M67" s="1">
        <f t="shared" si="21"/>
        <v>0</v>
      </c>
      <c r="O67" s="1">
        <v>7421.63238623994</v>
      </c>
      <c r="P67" s="1">
        <v>18.1632516384124</v>
      </c>
      <c r="R67" s="1">
        <v>7291.36318823271</v>
      </c>
      <c r="S67" s="1">
        <v>11.8869330883026</v>
      </c>
    </row>
    <row r="68">
      <c r="C68" s="1">
        <v>60.0</v>
      </c>
      <c r="D68" s="1">
        <v>20.0</v>
      </c>
      <c r="E68" s="1">
        <v>9.0</v>
      </c>
      <c r="G68" s="1">
        <v>6014.74607244368</v>
      </c>
      <c r="H68" s="1">
        <v>5.8353271484375</v>
      </c>
      <c r="I68" s="1">
        <v>6574.08693502762</v>
      </c>
      <c r="J68" s="1">
        <v>6574.08693502762</v>
      </c>
      <c r="K68" s="1">
        <v>16.6536793708801</v>
      </c>
      <c r="L68" s="1">
        <v>1439.0</v>
      </c>
      <c r="M68" s="1">
        <f t="shared" si="21"/>
        <v>0</v>
      </c>
      <c r="O68" s="1">
        <v>6017.44668418773</v>
      </c>
      <c r="P68" s="1">
        <v>18.7870371341705</v>
      </c>
      <c r="R68" s="1">
        <v>5892.96065795922</v>
      </c>
      <c r="S68" s="1">
        <v>14.1413612365722</v>
      </c>
    </row>
    <row r="69">
      <c r="C69" s="1"/>
      <c r="D69" s="1"/>
      <c r="E69" s="1"/>
      <c r="G69" s="8">
        <f t="shared" ref="G69:M69" si="22">AVERAGE(G59:G68)</f>
        <v>6374.766043</v>
      </c>
      <c r="H69" s="8">
        <f t="shared" si="22"/>
        <v>5.770480514</v>
      </c>
      <c r="I69" s="8">
        <f t="shared" si="22"/>
        <v>6813.260573</v>
      </c>
      <c r="J69" s="8">
        <f t="shared" si="22"/>
        <v>6813.260573</v>
      </c>
      <c r="K69" s="8">
        <f t="shared" si="22"/>
        <v>10.1983088</v>
      </c>
      <c r="L69" s="8">
        <f t="shared" si="22"/>
        <v>572.6</v>
      </c>
      <c r="M69" s="8">
        <f t="shared" si="22"/>
        <v>0</v>
      </c>
      <c r="O69" s="8">
        <f t="shared" ref="O69:P69" si="23">AVERAGE(O59:O68)</f>
        <v>6377.659226</v>
      </c>
      <c r="P69" s="8">
        <f t="shared" si="23"/>
        <v>19.63392889</v>
      </c>
      <c r="R69" s="8">
        <f t="shared" ref="R69:S69" si="24">AVERAGE(R59:R68)</f>
        <v>6274.178095</v>
      </c>
      <c r="S69" s="8">
        <f t="shared" si="24"/>
        <v>10.58645496</v>
      </c>
    </row>
    <row r="70">
      <c r="C70" s="1">
        <v>60.0</v>
      </c>
      <c r="D70" s="1">
        <v>25.0</v>
      </c>
      <c r="E70" s="1">
        <v>0.0</v>
      </c>
      <c r="G70" s="1">
        <v>11190.2740074659</v>
      </c>
      <c r="H70" s="1">
        <v>5.84700536727905</v>
      </c>
      <c r="I70" s="1">
        <v>11627.5420463395</v>
      </c>
      <c r="J70" s="1">
        <v>11627.5420463395</v>
      </c>
      <c r="K70" s="1">
        <v>9.7731966972351</v>
      </c>
      <c r="L70" s="1">
        <v>531.0</v>
      </c>
      <c r="M70" s="1">
        <f t="shared" ref="M70:M79" si="25">100*(I70-J70)/I70</f>
        <v>0</v>
      </c>
      <c r="O70" s="1">
        <v>11193.2962614767</v>
      </c>
      <c r="P70" s="1">
        <v>16.885020494461</v>
      </c>
      <c r="R70" s="1">
        <v>10932.5399700651</v>
      </c>
      <c r="S70" s="1">
        <v>10.7034735679626</v>
      </c>
    </row>
    <row r="71">
      <c r="C71" s="1">
        <v>60.0</v>
      </c>
      <c r="D71" s="1">
        <v>25.0</v>
      </c>
      <c r="E71" s="1">
        <v>1.0</v>
      </c>
      <c r="G71" s="1">
        <v>9795.91686497307</v>
      </c>
      <c r="H71" s="1">
        <v>5.90626072883606</v>
      </c>
      <c r="I71" s="1">
        <v>9944.41899211179</v>
      </c>
      <c r="J71" s="1">
        <v>9944.41899211179</v>
      </c>
      <c r="K71" s="1">
        <v>6.31962156295776</v>
      </c>
      <c r="L71" s="1">
        <v>55.0</v>
      </c>
      <c r="M71" s="1">
        <f t="shared" si="25"/>
        <v>0</v>
      </c>
      <c r="O71" s="1">
        <v>9799.1128093291</v>
      </c>
      <c r="P71" s="1">
        <v>26.2417171001434</v>
      </c>
      <c r="R71" s="1">
        <v>9591.02891147121</v>
      </c>
      <c r="S71" s="1">
        <v>16.1214470863342</v>
      </c>
    </row>
    <row r="72">
      <c r="C72" s="1">
        <v>60.0</v>
      </c>
      <c r="D72" s="1">
        <v>25.0</v>
      </c>
      <c r="E72" s="1">
        <v>2.0</v>
      </c>
      <c r="G72" s="1">
        <v>10887.5107318427</v>
      </c>
      <c r="H72" s="1">
        <v>5.96100640296936</v>
      </c>
      <c r="I72" s="1">
        <v>11065.35562232</v>
      </c>
      <c r="J72" s="1">
        <v>11065.35562232</v>
      </c>
      <c r="K72" s="1">
        <v>6.74748373031616</v>
      </c>
      <c r="L72" s="1">
        <v>99.0</v>
      </c>
      <c r="M72" s="1">
        <f t="shared" si="25"/>
        <v>0</v>
      </c>
      <c r="O72" s="1">
        <v>10891.2340371488</v>
      </c>
      <c r="P72" s="1">
        <v>18.4876127243042</v>
      </c>
      <c r="R72" s="1">
        <v>10585.7746329623</v>
      </c>
      <c r="S72" s="1">
        <v>11.7742147445678</v>
      </c>
    </row>
    <row r="73">
      <c r="C73" s="1">
        <v>60.0</v>
      </c>
      <c r="D73" s="1">
        <v>25.0</v>
      </c>
      <c r="E73" s="1">
        <v>3.0</v>
      </c>
      <c r="G73" s="1">
        <v>12504.1391787298</v>
      </c>
      <c r="H73" s="1">
        <v>5.8331401348114</v>
      </c>
      <c r="I73" s="1">
        <v>13029.5028127487</v>
      </c>
      <c r="J73" s="1">
        <v>13029.5028127487</v>
      </c>
      <c r="K73" s="1">
        <v>8.34447431564331</v>
      </c>
      <c r="L73" s="1">
        <v>327.0</v>
      </c>
      <c r="M73" s="1">
        <f t="shared" si="25"/>
        <v>0</v>
      </c>
      <c r="O73" s="1">
        <v>12506.9451600019</v>
      </c>
      <c r="P73" s="1">
        <v>27.347742319107</v>
      </c>
      <c r="R73" s="1">
        <v>12208.3101168779</v>
      </c>
      <c r="S73" s="1">
        <v>11.0538427829742</v>
      </c>
    </row>
    <row r="74">
      <c r="C74" s="1">
        <v>60.0</v>
      </c>
      <c r="D74" s="1">
        <v>25.0</v>
      </c>
      <c r="E74" s="1">
        <v>4.0</v>
      </c>
      <c r="G74" s="1">
        <v>10347.7985630247</v>
      </c>
      <c r="H74" s="1">
        <v>5.8596007823944</v>
      </c>
      <c r="I74" s="1">
        <v>10569.1677626332</v>
      </c>
      <c r="J74" s="1">
        <v>10569.1677626332</v>
      </c>
      <c r="K74" s="1">
        <v>6.30157709121704</v>
      </c>
      <c r="L74" s="1">
        <v>65.0</v>
      </c>
      <c r="M74" s="1">
        <f t="shared" si="25"/>
        <v>0</v>
      </c>
      <c r="O74" s="1">
        <v>10352.8510579699</v>
      </c>
      <c r="P74" s="1">
        <v>26.4673430919647</v>
      </c>
      <c r="R74" s="1">
        <v>10102.682668784</v>
      </c>
      <c r="S74" s="1">
        <v>13.5634896755218</v>
      </c>
    </row>
    <row r="75">
      <c r="C75" s="1">
        <v>60.0</v>
      </c>
      <c r="D75" s="1">
        <v>25.0</v>
      </c>
      <c r="E75" s="1">
        <v>5.0</v>
      </c>
      <c r="G75" s="1">
        <v>10240.0939532112</v>
      </c>
      <c r="H75" s="1">
        <v>5.8545536994934</v>
      </c>
      <c r="I75" s="1">
        <v>10544.8016120496</v>
      </c>
      <c r="J75" s="1">
        <v>10544.8016120496</v>
      </c>
      <c r="K75" s="1">
        <v>7.87012195587158</v>
      </c>
      <c r="L75" s="1">
        <v>271.0</v>
      </c>
      <c r="M75" s="1">
        <f t="shared" si="25"/>
        <v>0</v>
      </c>
      <c r="O75" s="1">
        <v>10243.3481989812</v>
      </c>
      <c r="P75" s="1">
        <v>22.4594798088073</v>
      </c>
      <c r="R75" s="1">
        <v>10016.30836666</v>
      </c>
      <c r="S75" s="1">
        <v>14.4410815238952</v>
      </c>
    </row>
    <row r="76">
      <c r="C76" s="1">
        <v>60.0</v>
      </c>
      <c r="D76" s="1">
        <v>25.0</v>
      </c>
      <c r="E76" s="1">
        <v>6.0</v>
      </c>
      <c r="G76" s="1">
        <v>10081.7119200057</v>
      </c>
      <c r="H76" s="1">
        <v>6.00933337211608</v>
      </c>
      <c r="I76" s="1">
        <v>10300.021804272</v>
      </c>
      <c r="J76" s="1">
        <v>10300.021804272</v>
      </c>
      <c r="K76" s="1">
        <v>6.61668467521667</v>
      </c>
      <c r="L76" s="1">
        <v>87.0</v>
      </c>
      <c r="M76" s="1">
        <f t="shared" si="25"/>
        <v>0</v>
      </c>
      <c r="O76" s="1">
        <v>10085.2446571213</v>
      </c>
      <c r="P76" s="1">
        <v>19.6822521686553</v>
      </c>
      <c r="R76" s="1">
        <v>10008.4112596606</v>
      </c>
      <c r="S76" s="1">
        <v>10.9636764526367</v>
      </c>
    </row>
    <row r="77">
      <c r="C77" s="1">
        <v>60.0</v>
      </c>
      <c r="D77" s="1">
        <v>25.0</v>
      </c>
      <c r="E77" s="1">
        <v>7.0</v>
      </c>
      <c r="G77" s="1">
        <v>9846.4868426726</v>
      </c>
      <c r="H77" s="1">
        <v>5.95680594444274</v>
      </c>
      <c r="I77" s="1">
        <v>10075.6568160398</v>
      </c>
      <c r="J77" s="1">
        <v>10075.6568160398</v>
      </c>
      <c r="K77" s="1">
        <v>7.11276149749755</v>
      </c>
      <c r="L77" s="1">
        <v>151.0</v>
      </c>
      <c r="M77" s="1">
        <f t="shared" si="25"/>
        <v>0</v>
      </c>
      <c r="O77" s="1">
        <v>9850.46493620841</v>
      </c>
      <c r="P77" s="1">
        <v>24.0074307918548</v>
      </c>
      <c r="R77" s="1">
        <v>9569.24495020609</v>
      </c>
      <c r="S77" s="1">
        <v>11.9472761154174</v>
      </c>
    </row>
    <row r="78">
      <c r="C78" s="1">
        <v>60.0</v>
      </c>
      <c r="D78" s="1">
        <v>25.0</v>
      </c>
      <c r="E78" s="1">
        <v>8.0</v>
      </c>
      <c r="G78" s="1">
        <v>11762.0566789018</v>
      </c>
      <c r="H78" s="1">
        <v>5.83751654624939</v>
      </c>
      <c r="I78" s="1">
        <v>11805.5968979334</v>
      </c>
      <c r="J78" s="1">
        <v>11805.5968979334</v>
      </c>
      <c r="K78" s="1">
        <v>6.16240501403808</v>
      </c>
      <c r="L78" s="1">
        <v>47.0</v>
      </c>
      <c r="M78" s="1">
        <f t="shared" si="25"/>
        <v>0</v>
      </c>
      <c r="O78" s="1">
        <v>11765.5664553385</v>
      </c>
      <c r="P78" s="1">
        <v>19.5956673622131</v>
      </c>
      <c r="R78" s="1">
        <v>11505.9387276015</v>
      </c>
      <c r="S78" s="1">
        <v>12.9144492149353</v>
      </c>
    </row>
    <row r="79">
      <c r="C79" s="1">
        <v>60.0</v>
      </c>
      <c r="D79" s="1">
        <v>25.0</v>
      </c>
      <c r="E79" s="1">
        <v>9.0</v>
      </c>
      <c r="G79" s="1">
        <v>10277.4943428092</v>
      </c>
      <c r="H79" s="1">
        <v>5.7991976737976</v>
      </c>
      <c r="I79" s="1">
        <v>10573.6624275933</v>
      </c>
      <c r="J79" s="1">
        <v>10573.6624275933</v>
      </c>
      <c r="K79" s="1">
        <v>6.70320796966552</v>
      </c>
      <c r="L79" s="1">
        <v>119.0</v>
      </c>
      <c r="M79" s="1">
        <f t="shared" si="25"/>
        <v>0</v>
      </c>
      <c r="O79" s="1">
        <v>10281.4993279835</v>
      </c>
      <c r="P79" s="1">
        <v>28.302588224411</v>
      </c>
      <c r="R79" s="1">
        <v>10052.8963138774</v>
      </c>
      <c r="S79" s="1">
        <v>14.6352200508117</v>
      </c>
    </row>
    <row r="80">
      <c r="C80" s="1"/>
      <c r="D80" s="1"/>
      <c r="E80" s="1"/>
      <c r="G80" s="8">
        <f t="shared" ref="G80:M80" si="26">AVERAGE(G70:G79)</f>
        <v>10693.34831</v>
      </c>
      <c r="H80" s="8">
        <f t="shared" si="26"/>
        <v>5.886442065</v>
      </c>
      <c r="I80" s="8">
        <f t="shared" si="26"/>
        <v>10953.57268</v>
      </c>
      <c r="J80" s="8">
        <f t="shared" si="26"/>
        <v>10953.57268</v>
      </c>
      <c r="K80" s="8">
        <f t="shared" si="26"/>
        <v>7.195153451</v>
      </c>
      <c r="L80" s="8">
        <f t="shared" si="26"/>
        <v>175.2</v>
      </c>
      <c r="M80" s="8">
        <f t="shared" si="26"/>
        <v>0</v>
      </c>
      <c r="O80" s="8">
        <f t="shared" ref="O80:P80" si="27">AVERAGE(O70:O79)</f>
        <v>10696.95629</v>
      </c>
      <c r="P80" s="8">
        <f t="shared" si="27"/>
        <v>22.94768541</v>
      </c>
      <c r="R80" s="8">
        <f t="shared" ref="R80:S80" si="28">AVERAGE(R70:R79)</f>
        <v>10457.31359</v>
      </c>
      <c r="S80" s="8">
        <f t="shared" si="28"/>
        <v>12.81181712</v>
      </c>
    </row>
    <row r="81">
      <c r="C81" s="1">
        <v>60.0</v>
      </c>
      <c r="D81" s="1">
        <v>30.0</v>
      </c>
      <c r="E81" s="1">
        <v>0.0</v>
      </c>
      <c r="G81" s="1">
        <v>17273.673729064</v>
      </c>
      <c r="H81" s="1">
        <v>5.95951223373413</v>
      </c>
      <c r="I81" s="1">
        <v>17474.1439275001</v>
      </c>
      <c r="J81" s="1">
        <v>17474.1439275001</v>
      </c>
      <c r="K81" s="1">
        <v>6.93963718414306</v>
      </c>
      <c r="L81" s="1">
        <v>123.0</v>
      </c>
      <c r="M81" s="1">
        <f t="shared" ref="M81:M90" si="29">100*(I81-J81)/I81</f>
        <v>0</v>
      </c>
      <c r="O81" s="1">
        <v>17277.8401034967</v>
      </c>
      <c r="P81" s="1">
        <v>18.8851377964019</v>
      </c>
      <c r="R81" s="1">
        <v>16695.2574571285</v>
      </c>
      <c r="S81" s="1">
        <v>8.04856252670288</v>
      </c>
    </row>
    <row r="82">
      <c r="C82" s="1">
        <v>60.0</v>
      </c>
      <c r="D82" s="1">
        <v>30.0</v>
      </c>
      <c r="E82" s="1">
        <v>1.0</v>
      </c>
      <c r="G82" s="1">
        <v>15305.5286319789</v>
      </c>
      <c r="H82" s="1">
        <v>5.97234153747558</v>
      </c>
      <c r="I82" s="1">
        <v>15330.3324115305</v>
      </c>
      <c r="J82" s="1">
        <v>15330.3324115305</v>
      </c>
      <c r="K82" s="1">
        <v>6.3562479019165</v>
      </c>
      <c r="L82" s="1">
        <v>55.0</v>
      </c>
      <c r="M82" s="1">
        <f t="shared" si="29"/>
        <v>0</v>
      </c>
      <c r="O82" s="1">
        <v>15308.4480323426</v>
      </c>
      <c r="P82" s="1">
        <v>22.0045161247253</v>
      </c>
      <c r="R82" s="1">
        <v>14972.9418333667</v>
      </c>
      <c r="S82" s="1">
        <v>15.6437833309173</v>
      </c>
    </row>
    <row r="83">
      <c r="C83" s="1">
        <v>60.0</v>
      </c>
      <c r="D83" s="1">
        <v>30.0</v>
      </c>
      <c r="E83" s="1">
        <v>2.0</v>
      </c>
      <c r="G83" s="1">
        <v>16908.4536861875</v>
      </c>
      <c r="H83" s="1">
        <v>6.00205755233764</v>
      </c>
      <c r="I83" s="1">
        <v>17060.844457094</v>
      </c>
      <c r="J83" s="1">
        <v>17060.844457094</v>
      </c>
      <c r="K83" s="1">
        <v>6.79662299156189</v>
      </c>
      <c r="L83" s="1">
        <v>101.0</v>
      </c>
      <c r="M83" s="1">
        <f t="shared" si="29"/>
        <v>0</v>
      </c>
      <c r="O83" s="1">
        <v>16912.7944825153</v>
      </c>
      <c r="P83" s="1">
        <v>24.92289686203</v>
      </c>
      <c r="R83" s="1">
        <v>16429.5787079168</v>
      </c>
      <c r="S83" s="1">
        <v>10.2697503566741</v>
      </c>
    </row>
    <row r="84">
      <c r="C84" s="1">
        <v>60.0</v>
      </c>
      <c r="D84" s="1">
        <v>30.0</v>
      </c>
      <c r="E84" s="1">
        <v>3.0</v>
      </c>
      <c r="G84" s="1">
        <v>19130.0150985959</v>
      </c>
      <c r="H84" s="1">
        <v>5.99487400054931</v>
      </c>
      <c r="I84" s="1">
        <v>19497.8866945814</v>
      </c>
      <c r="J84" s="1">
        <v>19497.8866945814</v>
      </c>
      <c r="K84" s="1">
        <v>7.25119686126709</v>
      </c>
      <c r="L84" s="1">
        <v>165.0</v>
      </c>
      <c r="M84" s="1">
        <f t="shared" si="29"/>
        <v>0</v>
      </c>
      <c r="O84" s="1">
        <v>19134.6162516583</v>
      </c>
      <c r="P84" s="1">
        <v>25.0243818759918</v>
      </c>
      <c r="R84" s="1">
        <v>18651.3546693937</v>
      </c>
      <c r="S84" s="1">
        <v>10.9126069545745</v>
      </c>
    </row>
    <row r="85">
      <c r="C85" s="1">
        <v>60.0</v>
      </c>
      <c r="D85" s="1">
        <v>30.0</v>
      </c>
      <c r="E85" s="1">
        <v>4.0</v>
      </c>
      <c r="G85" s="1">
        <v>16436.6558633712</v>
      </c>
      <c r="H85" s="1">
        <v>6.22475361824035</v>
      </c>
      <c r="I85" s="1">
        <v>16549.139307954</v>
      </c>
      <c r="J85" s="1">
        <v>16549.139307954</v>
      </c>
      <c r="K85" s="1">
        <v>6.65198183059692</v>
      </c>
      <c r="L85" s="1">
        <v>63.0</v>
      </c>
      <c r="M85" s="1">
        <f t="shared" si="29"/>
        <v>0</v>
      </c>
      <c r="O85" s="1">
        <v>16442.0673331736</v>
      </c>
      <c r="P85" s="1">
        <v>23.7643220424652</v>
      </c>
      <c r="R85" s="1">
        <v>16014.8439776669</v>
      </c>
      <c r="S85" s="1">
        <v>12.8741281032562</v>
      </c>
    </row>
    <row r="86">
      <c r="C86" s="1">
        <v>60.0</v>
      </c>
      <c r="D86" s="1">
        <v>30.0</v>
      </c>
      <c r="E86" s="1">
        <v>5.0</v>
      </c>
      <c r="G86" s="1">
        <v>15533.7033362235</v>
      </c>
      <c r="H86" s="1">
        <v>5.97293877601623</v>
      </c>
      <c r="I86" s="1">
        <v>15680.0039615587</v>
      </c>
      <c r="J86" s="1">
        <v>15680.0039615587</v>
      </c>
      <c r="K86" s="1">
        <v>6.79303812980651</v>
      </c>
      <c r="L86" s="1">
        <v>119.0</v>
      </c>
      <c r="M86" s="1">
        <f t="shared" si="29"/>
        <v>0</v>
      </c>
      <c r="O86" s="1">
        <v>15536.2915999193</v>
      </c>
      <c r="P86" s="1">
        <v>14.3201451301574</v>
      </c>
      <c r="R86" s="1">
        <v>15380.7597803856</v>
      </c>
      <c r="S86" s="1">
        <v>12.5998504161834</v>
      </c>
    </row>
    <row r="87">
      <c r="C87" s="1">
        <v>60.0</v>
      </c>
      <c r="D87" s="1">
        <v>30.0</v>
      </c>
      <c r="E87" s="1">
        <v>6.0</v>
      </c>
      <c r="G87" s="1">
        <v>15979.6432879271</v>
      </c>
      <c r="H87" s="1">
        <v>5.96797490119934</v>
      </c>
      <c r="I87" s="1">
        <v>16093.5197819408</v>
      </c>
      <c r="J87" s="1">
        <v>16093.5197819408</v>
      </c>
      <c r="K87" s="1">
        <v>6.40604972839355</v>
      </c>
      <c r="L87" s="1">
        <v>65.0</v>
      </c>
      <c r="M87" s="1">
        <f t="shared" si="29"/>
        <v>0</v>
      </c>
      <c r="O87" s="1">
        <v>15982.9408142913</v>
      </c>
      <c r="P87" s="1">
        <v>16.9894230365753</v>
      </c>
      <c r="R87" s="1">
        <v>15707.9203358119</v>
      </c>
      <c r="S87" s="1">
        <v>15.8501670360565</v>
      </c>
    </row>
    <row r="88">
      <c r="C88" s="1">
        <v>60.0</v>
      </c>
      <c r="D88" s="1">
        <v>30.0</v>
      </c>
      <c r="E88" s="1">
        <v>7.0</v>
      </c>
      <c r="G88" s="1">
        <v>15407.4997465473</v>
      </c>
      <c r="H88" s="1">
        <v>6.04385995864868</v>
      </c>
      <c r="I88" s="1">
        <v>15530.6681402784</v>
      </c>
      <c r="J88" s="1">
        <v>15530.6681402784</v>
      </c>
      <c r="K88" s="1">
        <v>6.50728440284729</v>
      </c>
      <c r="L88" s="1">
        <v>63.0</v>
      </c>
      <c r="M88" s="1">
        <f t="shared" si="29"/>
        <v>0</v>
      </c>
      <c r="O88" s="1">
        <v>15412.0137218179</v>
      </c>
      <c r="P88" s="1">
        <v>28.72980594635</v>
      </c>
      <c r="R88" s="1">
        <v>15032.8756470913</v>
      </c>
      <c r="S88" s="1">
        <v>12.2895629405975</v>
      </c>
    </row>
    <row r="89">
      <c r="C89" s="1">
        <v>60.0</v>
      </c>
      <c r="D89" s="1">
        <v>30.0</v>
      </c>
      <c r="E89" s="1">
        <v>8.0</v>
      </c>
      <c r="G89" s="1">
        <v>17482.8192029739</v>
      </c>
      <c r="H89" s="1">
        <v>5.97760701179504</v>
      </c>
      <c r="I89" s="1">
        <v>17611.993455926</v>
      </c>
      <c r="J89" s="1">
        <v>17611.993455926</v>
      </c>
      <c r="K89" s="1">
        <v>6.77915334701538</v>
      </c>
      <c r="L89" s="1">
        <v>99.0</v>
      </c>
      <c r="M89" s="1">
        <f t="shared" si="29"/>
        <v>0</v>
      </c>
      <c r="O89" s="1">
        <v>17485.7552512297</v>
      </c>
      <c r="P89" s="1">
        <v>15.4964303970336</v>
      </c>
      <c r="R89" s="1">
        <v>17188.7956992998</v>
      </c>
      <c r="S89" s="1">
        <v>15.232183933258</v>
      </c>
    </row>
    <row r="90">
      <c r="C90" s="1">
        <v>60.0</v>
      </c>
      <c r="D90" s="1">
        <v>30.0</v>
      </c>
      <c r="E90" s="1">
        <v>9.0</v>
      </c>
      <c r="G90" s="1">
        <v>16256.9910071805</v>
      </c>
      <c r="H90" s="1">
        <v>6.00181722640991</v>
      </c>
      <c r="I90" s="1">
        <v>16377.7378524467</v>
      </c>
      <c r="J90" s="1">
        <v>16377.7378524467</v>
      </c>
      <c r="K90" s="1">
        <v>6.56595468521118</v>
      </c>
      <c r="L90" s="1">
        <v>77.0</v>
      </c>
      <c r="M90" s="1">
        <f t="shared" si="29"/>
        <v>0</v>
      </c>
      <c r="O90" s="1">
        <v>16264.8915856488</v>
      </c>
      <c r="P90" s="1">
        <v>38.517361164093</v>
      </c>
      <c r="R90" s="1">
        <v>15912.7902010162</v>
      </c>
      <c r="S90" s="1">
        <v>9.85192060470581</v>
      </c>
    </row>
    <row r="91">
      <c r="C91" s="1"/>
      <c r="D91" s="1"/>
      <c r="E91" s="1"/>
      <c r="G91" s="8">
        <f t="shared" ref="G91:M91" si="30">AVERAGE(G81:G90)</f>
        <v>16571.49836</v>
      </c>
      <c r="H91" s="8">
        <f t="shared" si="30"/>
        <v>6.011773682</v>
      </c>
      <c r="I91" s="8">
        <f t="shared" si="30"/>
        <v>16720.627</v>
      </c>
      <c r="J91" s="8">
        <f t="shared" si="30"/>
        <v>16720.627</v>
      </c>
      <c r="K91" s="8">
        <f t="shared" si="30"/>
        <v>6.704716706</v>
      </c>
      <c r="L91" s="8">
        <f t="shared" si="30"/>
        <v>93</v>
      </c>
      <c r="M91" s="8">
        <f t="shared" si="30"/>
        <v>0</v>
      </c>
      <c r="O91" s="8">
        <f t="shared" ref="O91:P91" si="31">AVERAGE(O81:O90)</f>
        <v>16575.76592</v>
      </c>
      <c r="P91" s="8">
        <f t="shared" si="31"/>
        <v>22.86544204</v>
      </c>
      <c r="R91" s="8">
        <f t="shared" ref="R91:S91" si="32">AVERAGE(R81:R90)</f>
        <v>16198.71183</v>
      </c>
      <c r="S91" s="8">
        <f t="shared" si="32"/>
        <v>12.35725162</v>
      </c>
    </row>
    <row r="92">
      <c r="C92" s="1">
        <v>70.0</v>
      </c>
      <c r="D92" s="1">
        <v>15.0</v>
      </c>
      <c r="E92" s="1">
        <v>0.0</v>
      </c>
      <c r="G92" s="1">
        <v>2749.84553661511</v>
      </c>
      <c r="H92" s="1">
        <v>7.48498153686523</v>
      </c>
      <c r="I92" s="1">
        <v>3316.22773469675</v>
      </c>
      <c r="J92" s="1">
        <v>3316.22773469675</v>
      </c>
      <c r="K92" s="1">
        <v>64.9357068538665</v>
      </c>
      <c r="L92" s="1">
        <v>4863.0</v>
      </c>
      <c r="M92" s="1">
        <f t="shared" ref="M92:M101" si="33">100*(I92-J92)/I92</f>
        <v>0</v>
      </c>
      <c r="O92" s="1">
        <v>2752.42344187517</v>
      </c>
      <c r="P92" s="1">
        <v>30.6517531871795</v>
      </c>
      <c r="R92" s="1">
        <v>2726.32883188724</v>
      </c>
      <c r="S92" s="1">
        <v>13.6888885498046</v>
      </c>
    </row>
    <row r="93">
      <c r="C93" s="1">
        <v>70.0</v>
      </c>
      <c r="D93" s="1">
        <v>15.0</v>
      </c>
      <c r="E93" s="1">
        <v>1.0</v>
      </c>
      <c r="G93" s="1">
        <v>3329.740030579</v>
      </c>
      <c r="H93" s="1">
        <v>7.42916560173034</v>
      </c>
      <c r="I93" s="1">
        <v>4282.52570360151</v>
      </c>
      <c r="J93" s="1">
        <v>4282.52570360151</v>
      </c>
      <c r="K93" s="1">
        <v>802.066205263137</v>
      </c>
      <c r="L93" s="1">
        <v>54159.0</v>
      </c>
      <c r="M93" s="1">
        <f t="shared" si="33"/>
        <v>0</v>
      </c>
      <c r="O93" s="1">
        <v>3332.23226360674</v>
      </c>
      <c r="P93" s="1">
        <v>23.3732888698577</v>
      </c>
      <c r="R93" s="1">
        <v>3284.42033023285</v>
      </c>
      <c r="S93" s="1">
        <v>11.1714968681335</v>
      </c>
    </row>
    <row r="94">
      <c r="C94" s="1">
        <v>70.0</v>
      </c>
      <c r="D94" s="1">
        <v>15.0</v>
      </c>
      <c r="E94" s="1">
        <v>2.0</v>
      </c>
      <c r="G94" s="1">
        <v>4011.99207225102</v>
      </c>
      <c r="H94" s="1">
        <v>7.40087580680847</v>
      </c>
      <c r="I94" s="1">
        <v>4965.88288690073</v>
      </c>
      <c r="J94" s="1">
        <v>4965.88288690073</v>
      </c>
      <c r="K94" s="1">
        <v>469.374468564987</v>
      </c>
      <c r="L94" s="1">
        <v>35633.0</v>
      </c>
      <c r="M94" s="1">
        <f t="shared" si="33"/>
        <v>0</v>
      </c>
      <c r="O94" s="1">
        <v>4014.58352726704</v>
      </c>
      <c r="P94" s="1">
        <v>34.9998977184295</v>
      </c>
      <c r="R94" s="1">
        <v>3981.90320123363</v>
      </c>
      <c r="S94" s="1">
        <v>16.3130111694335</v>
      </c>
    </row>
    <row r="95">
      <c r="C95" s="1">
        <v>70.0</v>
      </c>
      <c r="D95" s="1">
        <v>15.0</v>
      </c>
      <c r="E95" s="1">
        <v>3.0</v>
      </c>
      <c r="G95" s="1">
        <v>3354.84424207413</v>
      </c>
      <c r="H95" s="1">
        <v>7.60569739341735</v>
      </c>
      <c r="I95" s="1">
        <v>4350.55280616999</v>
      </c>
      <c r="J95" s="1">
        <v>4350.55280616999</v>
      </c>
      <c r="K95" s="1">
        <v>1664.56223964691</v>
      </c>
      <c r="L95" s="1">
        <v>88601.0</v>
      </c>
      <c r="M95" s="1">
        <f t="shared" si="33"/>
        <v>0</v>
      </c>
      <c r="O95" s="1">
        <v>3356.99289940703</v>
      </c>
      <c r="P95" s="1">
        <v>27.856584072113</v>
      </c>
      <c r="R95" s="1">
        <v>3297.4581040348</v>
      </c>
      <c r="S95" s="1">
        <v>20.0210235118865</v>
      </c>
    </row>
    <row r="96">
      <c r="C96" s="1">
        <v>70.0</v>
      </c>
      <c r="D96" s="1">
        <v>15.0</v>
      </c>
      <c r="E96" s="1">
        <v>4.0</v>
      </c>
      <c r="G96" s="1">
        <v>3305.46809549338</v>
      </c>
      <c r="H96" s="1">
        <v>7.41259098052978</v>
      </c>
      <c r="I96" s="1">
        <v>4188.95355078086</v>
      </c>
      <c r="J96" s="1">
        <v>4188.95355078086</v>
      </c>
      <c r="K96" s="1">
        <v>150.245397090911</v>
      </c>
      <c r="L96" s="1">
        <v>12063.0</v>
      </c>
      <c r="M96" s="1">
        <f t="shared" si="33"/>
        <v>0</v>
      </c>
      <c r="O96" s="1">
        <v>3308.02118145413</v>
      </c>
      <c r="P96" s="1">
        <v>30.8715164661407</v>
      </c>
      <c r="R96" s="1">
        <v>3278.30410701132</v>
      </c>
      <c r="S96" s="1">
        <v>18.246197938919</v>
      </c>
    </row>
    <row r="97">
      <c r="C97" s="1">
        <v>70.0</v>
      </c>
      <c r="D97" s="1">
        <v>15.0</v>
      </c>
      <c r="E97" s="1">
        <v>5.0</v>
      </c>
      <c r="G97" s="1">
        <v>3056.48178686454</v>
      </c>
      <c r="H97" s="1">
        <v>7.51117897033691</v>
      </c>
      <c r="I97" s="1">
        <v>3798.31323140756</v>
      </c>
      <c r="J97" s="1">
        <v>3798.31323140756</v>
      </c>
      <c r="K97" s="1">
        <v>236.1976313591</v>
      </c>
      <c r="L97" s="1">
        <v>18309.0</v>
      </c>
      <c r="M97" s="1">
        <f t="shared" si="33"/>
        <v>0</v>
      </c>
      <c r="O97" s="1">
        <v>3059.30550710183</v>
      </c>
      <c r="P97" s="1">
        <v>27.3605222702026</v>
      </c>
      <c r="R97" s="1">
        <v>3009.63129059415</v>
      </c>
      <c r="S97" s="1">
        <v>15.3513917922973</v>
      </c>
    </row>
    <row r="98">
      <c r="C98" s="1">
        <v>70.0</v>
      </c>
      <c r="D98" s="1">
        <v>15.0</v>
      </c>
      <c r="E98" s="1">
        <v>6.0</v>
      </c>
      <c r="G98" s="1">
        <v>2711.35572112028</v>
      </c>
      <c r="H98" s="1">
        <v>7.43537211418151</v>
      </c>
      <c r="I98" s="1">
        <v>3661.3182093857</v>
      </c>
      <c r="J98" s="1">
        <v>3661.3182093857</v>
      </c>
      <c r="K98" s="1">
        <v>642.663187503814</v>
      </c>
      <c r="L98" s="1">
        <v>49393.0</v>
      </c>
      <c r="M98" s="1">
        <f t="shared" si="33"/>
        <v>0</v>
      </c>
      <c r="O98" s="1">
        <v>2713.26478456851</v>
      </c>
      <c r="P98" s="1">
        <v>22.3062887191772</v>
      </c>
      <c r="R98" s="1">
        <v>2680.9212764696</v>
      </c>
      <c r="S98" s="1">
        <v>10.093046426773</v>
      </c>
    </row>
    <row r="99">
      <c r="C99" s="1">
        <v>70.0</v>
      </c>
      <c r="D99" s="1">
        <v>15.0</v>
      </c>
      <c r="E99" s="1">
        <v>7.0</v>
      </c>
      <c r="G99" s="1">
        <v>3244.71510201495</v>
      </c>
      <c r="H99" s="1">
        <v>7.42139720916748</v>
      </c>
      <c r="I99" s="1">
        <v>4256.07218874987</v>
      </c>
      <c r="J99" s="1">
        <v>4256.07218874987</v>
      </c>
      <c r="K99" s="1">
        <v>597.056635856628</v>
      </c>
      <c r="L99" s="1">
        <v>44343.0</v>
      </c>
      <c r="M99" s="1">
        <f t="shared" si="33"/>
        <v>0</v>
      </c>
      <c r="O99" s="1">
        <v>3247.15900567052</v>
      </c>
      <c r="P99" s="1">
        <v>46.173442363739</v>
      </c>
      <c r="R99" s="1">
        <v>3206.54277648182</v>
      </c>
      <c r="S99" s="1">
        <v>15.428512096405</v>
      </c>
    </row>
    <row r="100">
      <c r="C100" s="1">
        <v>70.0</v>
      </c>
      <c r="D100" s="1">
        <v>15.0</v>
      </c>
      <c r="E100" s="1">
        <v>8.0</v>
      </c>
      <c r="G100" s="1">
        <v>2785.85457449484</v>
      </c>
      <c r="H100" s="1">
        <v>7.4045443534851</v>
      </c>
      <c r="I100" s="1">
        <v>3533.95019703737</v>
      </c>
      <c r="J100" s="1">
        <v>3533.95019703737</v>
      </c>
      <c r="K100" s="1">
        <v>110.233961343765</v>
      </c>
      <c r="L100" s="1">
        <v>8729.0</v>
      </c>
      <c r="M100" s="1">
        <f t="shared" si="33"/>
        <v>0</v>
      </c>
      <c r="O100" s="1">
        <v>2788.36090887195</v>
      </c>
      <c r="P100" s="1">
        <v>30.9633045196533</v>
      </c>
      <c r="R100" s="1">
        <v>2739.77480189705</v>
      </c>
      <c r="S100" s="1">
        <v>14.8737955093383</v>
      </c>
    </row>
    <row r="101">
      <c r="C101" s="1">
        <v>70.0</v>
      </c>
      <c r="D101" s="1">
        <v>15.0</v>
      </c>
      <c r="E101" s="1">
        <v>9.0</v>
      </c>
      <c r="G101" s="1">
        <v>2871.73958556268</v>
      </c>
      <c r="H101" s="1">
        <v>7.66453599929809</v>
      </c>
      <c r="I101" s="1">
        <v>3599.57991308232</v>
      </c>
      <c r="J101" s="1">
        <v>3599.57991308232</v>
      </c>
      <c r="K101" s="1">
        <v>124.227967977523</v>
      </c>
      <c r="L101" s="1">
        <v>9911.0</v>
      </c>
      <c r="M101" s="1">
        <f t="shared" si="33"/>
        <v>0</v>
      </c>
      <c r="O101" s="1">
        <v>2874.14600715286</v>
      </c>
      <c r="P101" s="1">
        <v>29.4690864086151</v>
      </c>
      <c r="R101" s="1">
        <v>2851.89441501588</v>
      </c>
      <c r="S101" s="1">
        <v>18.6985838413238</v>
      </c>
    </row>
    <row r="102">
      <c r="C102" s="1"/>
      <c r="D102" s="1"/>
      <c r="E102" s="1"/>
      <c r="G102" s="8">
        <f t="shared" ref="G102:M102" si="34">AVERAGE(G92:G101)</f>
        <v>3142.203675</v>
      </c>
      <c r="H102" s="8">
        <f t="shared" si="34"/>
        <v>7.477033997</v>
      </c>
      <c r="I102" s="8">
        <f t="shared" si="34"/>
        <v>3995.337642</v>
      </c>
      <c r="J102" s="8">
        <f t="shared" si="34"/>
        <v>3995.337642</v>
      </c>
      <c r="K102" s="8">
        <f t="shared" si="34"/>
        <v>486.1563401</v>
      </c>
      <c r="L102" s="8">
        <f t="shared" si="34"/>
        <v>32600.4</v>
      </c>
      <c r="M102" s="8">
        <f t="shared" si="34"/>
        <v>0</v>
      </c>
      <c r="O102" s="8">
        <f t="shared" ref="O102:P102" si="35">AVERAGE(O92:O101)</f>
        <v>3144.648953</v>
      </c>
      <c r="P102" s="8">
        <f t="shared" si="35"/>
        <v>30.40256846</v>
      </c>
      <c r="R102" s="8">
        <f t="shared" ref="R102:S102" si="36">AVERAGE(R92:R101)</f>
        <v>3105.717913</v>
      </c>
      <c r="S102" s="8">
        <f t="shared" si="36"/>
        <v>15.38859477</v>
      </c>
    </row>
    <row r="103">
      <c r="C103" s="1">
        <v>70.0</v>
      </c>
      <c r="D103" s="1">
        <v>20.0</v>
      </c>
      <c r="E103" s="1">
        <v>0.0</v>
      </c>
      <c r="G103" s="1">
        <v>4947.46634232392</v>
      </c>
      <c r="H103" s="1">
        <v>7.51743531227111</v>
      </c>
      <c r="I103" s="1">
        <v>5391.13048242161</v>
      </c>
      <c r="J103" s="1">
        <v>5391.13048242161</v>
      </c>
      <c r="K103" s="1">
        <v>18.0395836830139</v>
      </c>
      <c r="L103" s="1">
        <v>933.0</v>
      </c>
      <c r="M103" s="1">
        <f t="shared" ref="M103:M112" si="37">100*(I103-J103)/I103</f>
        <v>0</v>
      </c>
      <c r="O103" s="1">
        <v>4950.44525315995</v>
      </c>
      <c r="P103" s="1">
        <v>26.066626548767</v>
      </c>
      <c r="R103" s="1">
        <v>4875.61561800234</v>
      </c>
      <c r="S103" s="1">
        <v>15.5383157730102</v>
      </c>
    </row>
    <row r="104">
      <c r="C104" s="1">
        <v>70.0</v>
      </c>
      <c r="D104" s="1">
        <v>20.0</v>
      </c>
      <c r="E104" s="1">
        <v>1.0</v>
      </c>
      <c r="G104" s="1">
        <v>5715.19465386365</v>
      </c>
      <c r="H104" s="1">
        <v>7.56458210945129</v>
      </c>
      <c r="I104" s="1">
        <v>6625.42920348893</v>
      </c>
      <c r="J104" s="1">
        <v>6625.42920348893</v>
      </c>
      <c r="K104" s="1">
        <v>81.1096980571746</v>
      </c>
      <c r="L104" s="1">
        <v>6959.0</v>
      </c>
      <c r="M104" s="1">
        <f t="shared" si="37"/>
        <v>0</v>
      </c>
      <c r="O104" s="1">
        <v>5718.51340423118</v>
      </c>
      <c r="P104" s="1">
        <v>33.4659872055053</v>
      </c>
      <c r="R104" s="1">
        <v>5670.04786669611</v>
      </c>
      <c r="S104" s="1">
        <v>19.8127183914184</v>
      </c>
    </row>
    <row r="105">
      <c r="C105" s="1">
        <v>70.0</v>
      </c>
      <c r="D105" s="1">
        <v>20.0</v>
      </c>
      <c r="E105" s="1">
        <v>2.0</v>
      </c>
      <c r="G105" s="1">
        <v>6938.19284251437</v>
      </c>
      <c r="H105" s="1">
        <v>7.58278489112854</v>
      </c>
      <c r="I105" s="1">
        <v>7694.77431315888</v>
      </c>
      <c r="J105" s="1">
        <v>7694.77431315888</v>
      </c>
      <c r="K105" s="1">
        <v>69.9693388938903</v>
      </c>
      <c r="L105" s="1">
        <v>5803.0</v>
      </c>
      <c r="M105" s="1">
        <f t="shared" si="37"/>
        <v>0</v>
      </c>
      <c r="O105" s="1">
        <v>6941.58653843083</v>
      </c>
      <c r="P105" s="1">
        <v>33.0733649730682</v>
      </c>
      <c r="R105" s="1">
        <v>6806.45437442105</v>
      </c>
      <c r="S105" s="1">
        <v>25.1689162254333</v>
      </c>
    </row>
    <row r="106">
      <c r="C106" s="1">
        <v>70.0</v>
      </c>
      <c r="D106" s="1">
        <v>20.0</v>
      </c>
      <c r="E106" s="1">
        <v>3.0</v>
      </c>
      <c r="G106" s="1">
        <v>5896.23657406417</v>
      </c>
      <c r="H106" s="1">
        <v>7.55900621414184</v>
      </c>
      <c r="I106" s="1">
        <v>6637.6676800829</v>
      </c>
      <c r="J106" s="1">
        <v>6637.6676800829</v>
      </c>
      <c r="K106" s="1">
        <v>76.1161227226257</v>
      </c>
      <c r="L106" s="1">
        <v>6763.0</v>
      </c>
      <c r="M106" s="1">
        <f t="shared" si="37"/>
        <v>0</v>
      </c>
      <c r="O106" s="1">
        <v>5899.95231294006</v>
      </c>
      <c r="P106" s="1">
        <v>34.1097855567932</v>
      </c>
      <c r="R106" s="1">
        <v>5791.31967614062</v>
      </c>
      <c r="S106" s="1">
        <v>13.2815828323364</v>
      </c>
    </row>
    <row r="107">
      <c r="C107" s="1">
        <v>70.0</v>
      </c>
      <c r="D107" s="1">
        <v>20.0</v>
      </c>
      <c r="E107" s="1">
        <v>4.0</v>
      </c>
      <c r="G107" s="1">
        <v>5960.39731655704</v>
      </c>
      <c r="H107" s="1">
        <v>7.52845478057861</v>
      </c>
      <c r="I107" s="1">
        <v>6844.50626809687</v>
      </c>
      <c r="J107" s="1">
        <v>6844.50626809687</v>
      </c>
      <c r="K107" s="1">
        <v>74.0188488960266</v>
      </c>
      <c r="L107" s="1">
        <v>6033.0</v>
      </c>
      <c r="M107" s="1">
        <f t="shared" si="37"/>
        <v>0</v>
      </c>
      <c r="O107" s="1">
        <v>5963.71543589056</v>
      </c>
      <c r="P107" s="1">
        <v>24.0723795890808</v>
      </c>
      <c r="R107" s="1">
        <v>5886.57250494153</v>
      </c>
      <c r="S107" s="1">
        <v>17.9666938781738</v>
      </c>
    </row>
    <row r="108">
      <c r="C108" s="1">
        <v>70.0</v>
      </c>
      <c r="D108" s="1">
        <v>20.0</v>
      </c>
      <c r="E108" s="1">
        <v>5.0</v>
      </c>
      <c r="G108" s="1">
        <v>5444.74690501803</v>
      </c>
      <c r="H108" s="1">
        <v>7.55088758468627</v>
      </c>
      <c r="I108" s="1">
        <v>5985.68371113052</v>
      </c>
      <c r="J108" s="1">
        <v>5985.68371113052</v>
      </c>
      <c r="K108" s="1">
        <v>20.4444234371185</v>
      </c>
      <c r="L108" s="1">
        <v>1179.0</v>
      </c>
      <c r="M108" s="1">
        <f t="shared" si="37"/>
        <v>0</v>
      </c>
      <c r="O108" s="1">
        <v>5447.81052718648</v>
      </c>
      <c r="P108" s="1">
        <v>26.6967117786407</v>
      </c>
      <c r="R108" s="1">
        <v>5373.9345074315</v>
      </c>
      <c r="S108" s="1">
        <v>16.3362336158752</v>
      </c>
    </row>
    <row r="109">
      <c r="C109" s="1">
        <v>70.0</v>
      </c>
      <c r="D109" s="1">
        <v>20.0</v>
      </c>
      <c r="E109" s="1">
        <v>6.0</v>
      </c>
      <c r="G109" s="1">
        <v>4888.44079482444</v>
      </c>
      <c r="H109" s="1">
        <v>7.57256555557251</v>
      </c>
      <c r="I109" s="1">
        <v>5615.27293494628</v>
      </c>
      <c r="J109" s="1">
        <v>5615.27293494628</v>
      </c>
      <c r="K109" s="1">
        <v>31.8681280612945</v>
      </c>
      <c r="L109" s="1">
        <v>2573.0</v>
      </c>
      <c r="M109" s="1">
        <f t="shared" si="37"/>
        <v>0</v>
      </c>
      <c r="O109" s="1">
        <v>4890.78741308253</v>
      </c>
      <c r="P109" s="1">
        <v>22.9346902370452</v>
      </c>
      <c r="R109" s="1">
        <v>4854.25986701561</v>
      </c>
      <c r="S109" s="1">
        <v>12.627390384674</v>
      </c>
    </row>
    <row r="110">
      <c r="C110" s="1">
        <v>70.0</v>
      </c>
      <c r="D110" s="1">
        <v>20.0</v>
      </c>
      <c r="E110" s="1">
        <v>7.0</v>
      </c>
      <c r="G110" s="1">
        <v>5835.83520836247</v>
      </c>
      <c r="H110" s="1">
        <v>7.52746081352233</v>
      </c>
      <c r="I110" s="1">
        <v>6690.03840780594</v>
      </c>
      <c r="J110" s="1">
        <v>6690.03840780594</v>
      </c>
      <c r="K110" s="1">
        <v>64.7610223293304</v>
      </c>
      <c r="L110" s="1">
        <v>5609.0</v>
      </c>
      <c r="M110" s="1">
        <f t="shared" si="37"/>
        <v>0</v>
      </c>
      <c r="O110" s="1">
        <v>5839.37733578724</v>
      </c>
      <c r="P110" s="1">
        <v>38.4992995262146</v>
      </c>
      <c r="R110" s="1">
        <v>5783.65010197054</v>
      </c>
      <c r="S110" s="1">
        <v>22.0372576713562</v>
      </c>
    </row>
    <row r="111">
      <c r="C111" s="1">
        <v>70.0</v>
      </c>
      <c r="D111" s="1">
        <v>20.0</v>
      </c>
      <c r="E111" s="1">
        <v>8.0</v>
      </c>
      <c r="G111" s="1">
        <v>5198.44479893609</v>
      </c>
      <c r="H111" s="1">
        <v>7.63224792480468</v>
      </c>
      <c r="I111" s="1">
        <v>5760.07773105819</v>
      </c>
      <c r="J111" s="1">
        <v>5760.07773105819</v>
      </c>
      <c r="K111" s="1">
        <v>21.0374162197113</v>
      </c>
      <c r="L111" s="1">
        <v>1251.0</v>
      </c>
      <c r="M111" s="1">
        <f t="shared" si="37"/>
        <v>0</v>
      </c>
      <c r="O111" s="1">
        <v>5201.24300571388</v>
      </c>
      <c r="P111" s="1">
        <v>27.3836615085601</v>
      </c>
      <c r="R111" s="1">
        <v>5076.31148522305</v>
      </c>
      <c r="S111" s="1">
        <v>19.414769411087</v>
      </c>
    </row>
    <row r="112">
      <c r="C112" s="1">
        <v>70.0</v>
      </c>
      <c r="D112" s="1">
        <v>20.0</v>
      </c>
      <c r="E112" s="1">
        <v>9.0</v>
      </c>
      <c r="G112" s="1">
        <v>5190.73789771217</v>
      </c>
      <c r="H112" s="1">
        <v>7.56756973266601</v>
      </c>
      <c r="I112" s="1">
        <v>5844.10884939526</v>
      </c>
      <c r="J112" s="1">
        <v>5844.10884939526</v>
      </c>
      <c r="K112" s="1">
        <v>40.8731820583343</v>
      </c>
      <c r="L112" s="1">
        <v>3087.0</v>
      </c>
      <c r="M112" s="1">
        <f t="shared" si="37"/>
        <v>0</v>
      </c>
      <c r="O112" s="1">
        <v>5193.54163789494</v>
      </c>
      <c r="P112" s="1">
        <v>40.3015868663787</v>
      </c>
      <c r="R112" s="1">
        <v>5108.05338657633</v>
      </c>
      <c r="S112" s="1">
        <v>17.4712181091308</v>
      </c>
    </row>
    <row r="113">
      <c r="C113" s="1"/>
      <c r="D113" s="1"/>
      <c r="E113" s="1"/>
      <c r="G113" s="8">
        <f t="shared" ref="G113:M113" si="38">AVERAGE(G103:G112)</f>
        <v>5601.569333</v>
      </c>
      <c r="H113" s="8">
        <f t="shared" si="38"/>
        <v>7.560299492</v>
      </c>
      <c r="I113" s="8">
        <f t="shared" si="38"/>
        <v>6308.868958</v>
      </c>
      <c r="J113" s="8">
        <f t="shared" si="38"/>
        <v>6308.868958</v>
      </c>
      <c r="K113" s="8">
        <f t="shared" si="38"/>
        <v>49.82377644</v>
      </c>
      <c r="L113" s="8">
        <f t="shared" si="38"/>
        <v>4019</v>
      </c>
      <c r="M113" s="8">
        <f t="shared" si="38"/>
        <v>0</v>
      </c>
      <c r="O113" s="8">
        <f t="shared" ref="O113:P113" si="39">AVERAGE(O103:O112)</f>
        <v>5604.697286</v>
      </c>
      <c r="P113" s="8">
        <f t="shared" si="39"/>
        <v>30.66040938</v>
      </c>
      <c r="R113" s="8">
        <f t="shared" ref="R113:S113" si="40">AVERAGE(R103:R112)</f>
        <v>5522.621939</v>
      </c>
      <c r="S113" s="8">
        <f t="shared" si="40"/>
        <v>17.96550963</v>
      </c>
    </row>
    <row r="114">
      <c r="C114" s="1">
        <v>70.0</v>
      </c>
      <c r="D114" s="1">
        <v>25.0</v>
      </c>
      <c r="E114" s="1">
        <v>0.0</v>
      </c>
      <c r="G114" s="1">
        <v>8243.02535317451</v>
      </c>
      <c r="H114" s="1">
        <v>7.71994853019714</v>
      </c>
      <c r="I114" s="1">
        <v>8737.96102864868</v>
      </c>
      <c r="J114" s="1">
        <v>8737.96102864868</v>
      </c>
      <c r="K114" s="1">
        <v>25.6565732955932</v>
      </c>
      <c r="L114" s="1">
        <v>1655.0</v>
      </c>
      <c r="M114" s="1">
        <f t="shared" ref="M114:M123" si="41">100*(I114-J114)/I114</f>
        <v>0</v>
      </c>
      <c r="O114" s="1">
        <v>8246.75197803669</v>
      </c>
      <c r="P114" s="1">
        <v>32.2635645866394</v>
      </c>
      <c r="R114" s="1">
        <v>8073.45557040664</v>
      </c>
      <c r="S114" s="1">
        <v>13.806092262268</v>
      </c>
    </row>
    <row r="115">
      <c r="C115" s="1">
        <v>70.0</v>
      </c>
      <c r="D115" s="1">
        <v>25.0</v>
      </c>
      <c r="E115" s="1">
        <v>1.0</v>
      </c>
      <c r="G115" s="1">
        <v>9444.81726842498</v>
      </c>
      <c r="H115" s="1">
        <v>7.76948904991149</v>
      </c>
      <c r="I115" s="1">
        <v>10117.6790112336</v>
      </c>
      <c r="J115" s="1">
        <v>10117.6790112336</v>
      </c>
      <c r="K115" s="1">
        <v>20.5435619354248</v>
      </c>
      <c r="L115" s="1">
        <v>1297.0</v>
      </c>
      <c r="M115" s="1">
        <f t="shared" si="41"/>
        <v>0</v>
      </c>
      <c r="O115" s="1">
        <v>9448.67688862589</v>
      </c>
      <c r="P115" s="1">
        <v>27.1803822517395</v>
      </c>
      <c r="R115" s="1">
        <v>9292.58888842914</v>
      </c>
      <c r="S115" s="1">
        <v>15.4672887325286</v>
      </c>
    </row>
    <row r="116">
      <c r="C116" s="1">
        <v>70.0</v>
      </c>
      <c r="D116" s="1">
        <v>25.0</v>
      </c>
      <c r="E116" s="1">
        <v>2.0</v>
      </c>
      <c r="G116" s="1">
        <v>11095.2488991267</v>
      </c>
      <c r="H116" s="1">
        <v>7.73395347595214</v>
      </c>
      <c r="I116" s="1">
        <v>11558.5232175842</v>
      </c>
      <c r="J116" s="1">
        <v>11558.5232175842</v>
      </c>
      <c r="K116" s="1">
        <v>11.6761209964752</v>
      </c>
      <c r="L116" s="1">
        <v>389.0</v>
      </c>
      <c r="M116" s="1">
        <f t="shared" si="41"/>
        <v>0</v>
      </c>
      <c r="O116" s="1">
        <v>11099.3279190811</v>
      </c>
      <c r="P116" s="1">
        <v>28.6353056430816</v>
      </c>
      <c r="R116" s="1">
        <v>10892.1750664402</v>
      </c>
      <c r="S116" s="1">
        <v>22.6981129646301</v>
      </c>
    </row>
    <row r="117">
      <c r="C117" s="1">
        <v>70.0</v>
      </c>
      <c r="D117" s="1">
        <v>25.0</v>
      </c>
      <c r="E117" s="1">
        <v>3.0</v>
      </c>
      <c r="G117" s="1">
        <v>9621.08460911753</v>
      </c>
      <c r="H117" s="1">
        <v>7.73786973953247</v>
      </c>
      <c r="I117" s="1">
        <v>10018.4644798555</v>
      </c>
      <c r="J117" s="1">
        <v>10018.4644798555</v>
      </c>
      <c r="K117" s="1">
        <v>10.8742160797119</v>
      </c>
      <c r="L117" s="1">
        <v>331.0</v>
      </c>
      <c r="M117" s="1">
        <f t="shared" si="41"/>
        <v>0</v>
      </c>
      <c r="O117" s="1">
        <v>9626.4463852274</v>
      </c>
      <c r="P117" s="1">
        <v>52.9981005191803</v>
      </c>
      <c r="R117" s="1">
        <v>9476.93446385125</v>
      </c>
      <c r="S117" s="1">
        <v>20.0299823284149</v>
      </c>
    </row>
    <row r="118">
      <c r="C118" s="1">
        <v>70.0</v>
      </c>
      <c r="D118" s="1">
        <v>25.0</v>
      </c>
      <c r="E118" s="1">
        <v>4.0</v>
      </c>
      <c r="G118" s="1">
        <v>9863.78054801901</v>
      </c>
      <c r="H118" s="1">
        <v>7.75049805641174</v>
      </c>
      <c r="I118" s="1">
        <v>10619.2019578675</v>
      </c>
      <c r="J118" s="1">
        <v>10619.2019578675</v>
      </c>
      <c r="K118" s="1">
        <v>53.3249840736389</v>
      </c>
      <c r="L118" s="1">
        <v>4697.0</v>
      </c>
      <c r="M118" s="1">
        <f t="shared" si="41"/>
        <v>0</v>
      </c>
      <c r="O118" s="1">
        <v>9868.29112398525</v>
      </c>
      <c r="P118" s="1">
        <v>39.7674193382263</v>
      </c>
      <c r="R118" s="1">
        <v>9698.37548806519</v>
      </c>
      <c r="S118" s="1">
        <v>13.6022713184356</v>
      </c>
    </row>
    <row r="119">
      <c r="C119" s="1">
        <v>70.0</v>
      </c>
      <c r="D119" s="1">
        <v>25.0</v>
      </c>
      <c r="E119" s="1">
        <v>5.0</v>
      </c>
      <c r="G119" s="1">
        <v>8958.66733450195</v>
      </c>
      <c r="H119" s="1">
        <v>7.73448395729064</v>
      </c>
      <c r="I119" s="1">
        <v>9336.07181731313</v>
      </c>
      <c r="J119" s="1">
        <v>9336.07181731313</v>
      </c>
      <c r="K119" s="1">
        <v>10.0449547767639</v>
      </c>
      <c r="L119" s="1">
        <v>225.0</v>
      </c>
      <c r="M119" s="1">
        <f t="shared" si="41"/>
        <v>0</v>
      </c>
      <c r="O119" s="1">
        <v>8962.22553580047</v>
      </c>
      <c r="P119" s="1">
        <v>33.2724969387054</v>
      </c>
      <c r="R119" s="1">
        <v>8858.25905678987</v>
      </c>
      <c r="S119" s="1">
        <v>16.8607513904571</v>
      </c>
    </row>
    <row r="120">
      <c r="C120" s="1">
        <v>70.0</v>
      </c>
      <c r="D120" s="1">
        <v>25.0</v>
      </c>
      <c r="E120" s="1">
        <v>6.0</v>
      </c>
      <c r="G120" s="1">
        <v>8419.59570223595</v>
      </c>
      <c r="H120" s="1">
        <v>7.70485115051269</v>
      </c>
      <c r="I120" s="1">
        <v>8831.46176551095</v>
      </c>
      <c r="J120" s="1">
        <v>8831.46176551095</v>
      </c>
      <c r="K120" s="1">
        <v>8.90772104263305</v>
      </c>
      <c r="L120" s="1">
        <v>133.0</v>
      </c>
      <c r="M120" s="1">
        <f t="shared" si="41"/>
        <v>0</v>
      </c>
      <c r="O120" s="1">
        <v>8422.22986242516</v>
      </c>
      <c r="P120" s="1">
        <v>21.0448331832885</v>
      </c>
      <c r="R120" s="1">
        <v>8360.36977636839</v>
      </c>
      <c r="S120" s="1">
        <v>17.9274184703826</v>
      </c>
    </row>
    <row r="121">
      <c r="C121" s="1">
        <v>70.0</v>
      </c>
      <c r="D121" s="1">
        <v>25.0</v>
      </c>
      <c r="E121" s="1">
        <v>7.0</v>
      </c>
      <c r="G121" s="1">
        <v>9822.85924670938</v>
      </c>
      <c r="H121" s="1">
        <v>7.73162460327148</v>
      </c>
      <c r="I121" s="1">
        <v>10506.557205979</v>
      </c>
      <c r="J121" s="1">
        <v>10506.557205979</v>
      </c>
      <c r="K121" s="1">
        <v>32.4861395359039</v>
      </c>
      <c r="L121" s="1">
        <v>2617.0</v>
      </c>
      <c r="M121" s="1">
        <f t="shared" si="41"/>
        <v>0</v>
      </c>
      <c r="O121" s="1">
        <v>9826.52040173422</v>
      </c>
      <c r="P121" s="1">
        <v>40.5922040939331</v>
      </c>
      <c r="R121" s="1">
        <v>9726.59500721895</v>
      </c>
      <c r="S121" s="1">
        <v>18.9564456939697</v>
      </c>
    </row>
    <row r="122">
      <c r="C122" s="1">
        <v>70.0</v>
      </c>
      <c r="D122" s="1">
        <v>25.0</v>
      </c>
      <c r="E122" s="1">
        <v>8.0</v>
      </c>
      <c r="G122" s="1">
        <v>8946.95670012886</v>
      </c>
      <c r="H122" s="1">
        <v>7.7188446521759</v>
      </c>
      <c r="I122" s="1">
        <v>9239.4015440644</v>
      </c>
      <c r="J122" s="1">
        <v>9239.4015440644</v>
      </c>
      <c r="K122" s="1">
        <v>10.8967881202697</v>
      </c>
      <c r="L122" s="1">
        <v>305.0</v>
      </c>
      <c r="M122" s="1">
        <f t="shared" si="41"/>
        <v>0</v>
      </c>
      <c r="O122" s="1">
        <v>8950.32712331999</v>
      </c>
      <c r="P122" s="1">
        <v>23.7922184467315</v>
      </c>
      <c r="R122" s="1">
        <v>8624.6415222913</v>
      </c>
      <c r="S122" s="1">
        <v>18.0718896389007</v>
      </c>
    </row>
    <row r="123">
      <c r="C123" s="1">
        <v>70.0</v>
      </c>
      <c r="D123" s="1">
        <v>25.0</v>
      </c>
      <c r="E123" s="1">
        <v>9.0</v>
      </c>
      <c r="G123" s="1">
        <v>8706.44753595503</v>
      </c>
      <c r="H123" s="1">
        <v>7.72268724441528</v>
      </c>
      <c r="I123" s="1">
        <v>9211.50479370317</v>
      </c>
      <c r="J123" s="1">
        <v>9211.50479370317</v>
      </c>
      <c r="K123" s="1">
        <v>12.5038781166076</v>
      </c>
      <c r="L123" s="1">
        <v>463.0</v>
      </c>
      <c r="M123" s="1">
        <f t="shared" si="41"/>
        <v>0</v>
      </c>
      <c r="O123" s="1">
        <v>8709.90404069868</v>
      </c>
      <c r="P123" s="1">
        <v>46.2816607952117</v>
      </c>
      <c r="R123" s="1">
        <v>8572.94674391543</v>
      </c>
      <c r="S123" s="1">
        <v>16.5918750762939</v>
      </c>
    </row>
    <row r="124">
      <c r="C124" s="1"/>
      <c r="D124" s="1"/>
      <c r="E124" s="1"/>
      <c r="G124" s="8">
        <f t="shared" ref="G124:M124" si="42">AVERAGE(G114:G123)</f>
        <v>9312.24832</v>
      </c>
      <c r="H124" s="8">
        <f t="shared" si="42"/>
        <v>7.732425046</v>
      </c>
      <c r="I124" s="8">
        <f t="shared" si="42"/>
        <v>9817.682682</v>
      </c>
      <c r="J124" s="8">
        <f t="shared" si="42"/>
        <v>9817.682682</v>
      </c>
      <c r="K124" s="8">
        <f t="shared" si="42"/>
        <v>19.6914938</v>
      </c>
      <c r="L124" s="8">
        <f t="shared" si="42"/>
        <v>1211.2</v>
      </c>
      <c r="M124" s="8">
        <f t="shared" si="42"/>
        <v>0</v>
      </c>
      <c r="O124" s="8">
        <f t="shared" ref="O124:P124" si="43">AVERAGE(O114:O123)</f>
        <v>9316.070126</v>
      </c>
      <c r="P124" s="8">
        <f t="shared" si="43"/>
        <v>34.58281858</v>
      </c>
      <c r="R124" s="8">
        <f t="shared" ref="R124:S124" si="44">AVERAGE(R114:R123)</f>
        <v>9157.634158</v>
      </c>
      <c r="S124" s="8">
        <f t="shared" si="44"/>
        <v>17.40121279</v>
      </c>
    </row>
    <row r="125">
      <c r="C125" s="1">
        <v>70.0</v>
      </c>
      <c r="D125" s="1">
        <v>30.0</v>
      </c>
      <c r="E125" s="1">
        <v>0.0</v>
      </c>
      <c r="G125" s="1">
        <v>12788.2127282276</v>
      </c>
      <c r="H125" s="1">
        <v>7.84417581558227</v>
      </c>
      <c r="I125" s="1">
        <v>13193.5745045332</v>
      </c>
      <c r="J125" s="1">
        <v>13193.5745045332</v>
      </c>
      <c r="K125" s="1">
        <v>13.6373717784881</v>
      </c>
      <c r="L125" s="1">
        <v>575.0</v>
      </c>
      <c r="M125" s="1">
        <f t="shared" ref="M125:M134" si="45">100*(I125-J125)/I125</f>
        <v>0</v>
      </c>
      <c r="O125" s="1">
        <v>12792.145362532</v>
      </c>
      <c r="P125" s="1">
        <v>35.9355039596557</v>
      </c>
      <c r="R125" s="1">
        <v>12510.2705625326</v>
      </c>
      <c r="S125" s="1">
        <v>15.5524153709411</v>
      </c>
    </row>
    <row r="126">
      <c r="C126" s="1">
        <v>70.0</v>
      </c>
      <c r="D126" s="1">
        <v>30.0</v>
      </c>
      <c r="E126" s="1">
        <v>1.0</v>
      </c>
      <c r="G126" s="1">
        <v>14431.3546515242</v>
      </c>
      <c r="H126" s="1">
        <v>7.88194251060485</v>
      </c>
      <c r="I126" s="1">
        <v>14922.603258179</v>
      </c>
      <c r="J126" s="1">
        <v>14922.603258179</v>
      </c>
      <c r="K126" s="1">
        <v>12.687926530838</v>
      </c>
      <c r="L126" s="1">
        <v>511.0</v>
      </c>
      <c r="M126" s="1">
        <f t="shared" si="45"/>
        <v>0</v>
      </c>
      <c r="O126" s="1">
        <v>14436.3625176262</v>
      </c>
      <c r="P126" s="1">
        <v>43.1545674800872</v>
      </c>
      <c r="R126" s="1">
        <v>14218.9779357899</v>
      </c>
      <c r="S126" s="1">
        <v>21.569551706314</v>
      </c>
    </row>
    <row r="127">
      <c r="C127" s="1">
        <v>70.0</v>
      </c>
      <c r="D127" s="1">
        <v>30.0</v>
      </c>
      <c r="E127" s="1">
        <v>2.0</v>
      </c>
      <c r="G127" s="1">
        <v>16664.7328816038</v>
      </c>
      <c r="H127" s="1">
        <v>7.86927962303161</v>
      </c>
      <c r="I127" s="1">
        <v>16914.3646158973</v>
      </c>
      <c r="J127" s="1">
        <v>16914.3646158973</v>
      </c>
      <c r="K127" s="1">
        <v>8.97733759880066</v>
      </c>
      <c r="L127" s="1">
        <v>121.0</v>
      </c>
      <c r="M127" s="1">
        <f t="shared" si="45"/>
        <v>0</v>
      </c>
      <c r="O127" s="1">
        <v>16671.7176197202</v>
      </c>
      <c r="P127" s="1">
        <v>51.0308294296264</v>
      </c>
      <c r="R127" s="1">
        <v>16415.7370762385</v>
      </c>
      <c r="S127" s="1">
        <v>21.2949578762054</v>
      </c>
    </row>
    <row r="128">
      <c r="C128" s="1">
        <v>70.0</v>
      </c>
      <c r="D128" s="1">
        <v>30.0</v>
      </c>
      <c r="E128" s="1">
        <v>3.0</v>
      </c>
      <c r="G128" s="1">
        <v>14694.2222673943</v>
      </c>
      <c r="H128" s="1">
        <v>7.89304780960083</v>
      </c>
      <c r="I128" s="1">
        <v>14860.7739822285</v>
      </c>
      <c r="J128" s="1">
        <v>14860.7739822285</v>
      </c>
      <c r="K128" s="1">
        <v>8.63955998420715</v>
      </c>
      <c r="L128" s="1">
        <v>85.0</v>
      </c>
      <c r="M128" s="1">
        <f t="shared" si="45"/>
        <v>0</v>
      </c>
      <c r="O128" s="1">
        <v>14697.4037831363</v>
      </c>
      <c r="P128" s="1">
        <v>26.9376525878906</v>
      </c>
      <c r="R128" s="1">
        <v>14518.6229600762</v>
      </c>
      <c r="S128" s="1">
        <v>22.25594830513</v>
      </c>
    </row>
    <row r="129">
      <c r="C129" s="1">
        <v>70.0</v>
      </c>
      <c r="D129" s="1">
        <v>30.0</v>
      </c>
      <c r="E129" s="1">
        <v>4.0</v>
      </c>
      <c r="G129" s="1">
        <v>15241.9499489947</v>
      </c>
      <c r="H129" s="1">
        <v>7.89119791984558</v>
      </c>
      <c r="I129" s="1">
        <v>15737.5647487649</v>
      </c>
      <c r="J129" s="1">
        <v>15737.5647487649</v>
      </c>
      <c r="K129" s="1">
        <v>11.3345603942871</v>
      </c>
      <c r="L129" s="1">
        <v>349.0</v>
      </c>
      <c r="M129" s="1">
        <f t="shared" si="45"/>
        <v>0</v>
      </c>
      <c r="O129" s="1">
        <v>15246.6258398726</v>
      </c>
      <c r="P129" s="1">
        <v>46.6167387962341</v>
      </c>
      <c r="R129" s="1">
        <v>14982.8865858825</v>
      </c>
      <c r="S129" s="1">
        <v>18.6137096881866</v>
      </c>
    </row>
    <row r="130">
      <c r="C130" s="1">
        <v>70.0</v>
      </c>
      <c r="D130" s="1">
        <v>30.0</v>
      </c>
      <c r="E130" s="1">
        <v>5.0</v>
      </c>
      <c r="G130" s="1">
        <v>13922.1723231579</v>
      </c>
      <c r="H130" s="1">
        <v>8.1337718963623</v>
      </c>
      <c r="I130" s="1">
        <v>14086.1567329375</v>
      </c>
      <c r="J130" s="1">
        <v>14086.1567329375</v>
      </c>
      <c r="K130" s="1">
        <v>8.89896917343139</v>
      </c>
      <c r="L130" s="1">
        <v>83.0</v>
      </c>
      <c r="M130" s="1">
        <f t="shared" si="45"/>
        <v>0</v>
      </c>
      <c r="O130" s="1">
        <v>13925.890894792</v>
      </c>
      <c r="P130" s="1">
        <v>47.1358129978179</v>
      </c>
      <c r="R130" s="1">
        <v>13733.9131398469</v>
      </c>
      <c r="S130" s="1">
        <v>21.5538809299469</v>
      </c>
    </row>
    <row r="131">
      <c r="C131" s="1">
        <v>70.0</v>
      </c>
      <c r="D131" s="1">
        <v>30.0</v>
      </c>
      <c r="E131" s="1">
        <v>6.0</v>
      </c>
      <c r="G131" s="1">
        <v>13758.0542641216</v>
      </c>
      <c r="H131" s="1">
        <v>7.93675446510314</v>
      </c>
      <c r="I131" s="1">
        <v>14092.1471618468</v>
      </c>
      <c r="J131" s="1">
        <v>14092.1471618468</v>
      </c>
      <c r="K131" s="1">
        <v>9.20864868164062</v>
      </c>
      <c r="L131" s="1">
        <v>139.0</v>
      </c>
      <c r="M131" s="1">
        <f t="shared" si="45"/>
        <v>0</v>
      </c>
      <c r="O131" s="1">
        <v>13762.4700921173</v>
      </c>
      <c r="P131" s="1">
        <v>66.3233606815338</v>
      </c>
      <c r="R131" s="1">
        <v>13545.3751343199</v>
      </c>
      <c r="S131" s="1">
        <v>22.3219685554504</v>
      </c>
    </row>
    <row r="132">
      <c r="C132" s="1">
        <v>70.0</v>
      </c>
      <c r="D132" s="1">
        <v>30.0</v>
      </c>
      <c r="E132" s="1">
        <v>7.0</v>
      </c>
      <c r="G132" s="1">
        <v>15360.7136242586</v>
      </c>
      <c r="H132" s="1">
        <v>7.84808182716369</v>
      </c>
      <c r="I132" s="1">
        <v>15759.570560445</v>
      </c>
      <c r="J132" s="1">
        <v>15759.570560445</v>
      </c>
      <c r="K132" s="1">
        <v>9.51041841506958</v>
      </c>
      <c r="L132" s="1">
        <v>179.0</v>
      </c>
      <c r="M132" s="1">
        <f t="shared" si="45"/>
        <v>0</v>
      </c>
      <c r="O132" s="1">
        <v>15365.3455533209</v>
      </c>
      <c r="P132" s="1">
        <v>41.5780780315399</v>
      </c>
      <c r="R132" s="1">
        <v>15196.2135917319</v>
      </c>
      <c r="S132" s="1">
        <v>25.7796442508697</v>
      </c>
    </row>
    <row r="133">
      <c r="C133" s="1">
        <v>70.0</v>
      </c>
      <c r="D133" s="1">
        <v>30.0</v>
      </c>
      <c r="E133" s="1">
        <v>8.0</v>
      </c>
      <c r="G133" s="1">
        <v>13895.9573980063</v>
      </c>
      <c r="H133" s="1">
        <v>7.91777920722961</v>
      </c>
      <c r="I133" s="1">
        <v>14025.3941410013</v>
      </c>
      <c r="J133" s="1">
        <v>14025.3941410013</v>
      </c>
      <c r="K133" s="1">
        <v>9.14769005775451</v>
      </c>
      <c r="L133" s="1">
        <v>123.0</v>
      </c>
      <c r="M133" s="1">
        <f t="shared" si="45"/>
        <v>0</v>
      </c>
      <c r="O133" s="1">
        <v>13899.5493504734</v>
      </c>
      <c r="P133" s="1">
        <v>34.954481601715</v>
      </c>
      <c r="R133" s="1">
        <v>13515.7557766345</v>
      </c>
      <c r="S133" s="1">
        <v>20.8386011123657</v>
      </c>
    </row>
    <row r="134">
      <c r="C134" s="1">
        <v>70.0</v>
      </c>
      <c r="D134" s="1">
        <v>30.0</v>
      </c>
      <c r="E134" s="1">
        <v>9.0</v>
      </c>
      <c r="G134" s="1">
        <v>13658.2009767932</v>
      </c>
      <c r="H134" s="1">
        <v>7.81789565086364</v>
      </c>
      <c r="I134" s="1">
        <v>14056.3829357906</v>
      </c>
      <c r="J134" s="1">
        <v>14056.3829357906</v>
      </c>
      <c r="K134" s="1">
        <v>10.5726165771484</v>
      </c>
      <c r="L134" s="1">
        <v>291.0</v>
      </c>
      <c r="M134" s="1">
        <f t="shared" si="45"/>
        <v>0</v>
      </c>
      <c r="O134" s="1">
        <v>13661.4438456251</v>
      </c>
      <c r="P134" s="1">
        <v>28.2083921432495</v>
      </c>
      <c r="R134" s="1">
        <v>13428.5283936933</v>
      </c>
      <c r="S134" s="1">
        <v>25.0161941051483</v>
      </c>
    </row>
    <row r="135">
      <c r="C135" s="1"/>
      <c r="D135" s="1"/>
      <c r="E135" s="1"/>
      <c r="G135" s="8">
        <f t="shared" ref="G135:M135" si="46">AVERAGE(G125:G134)</f>
        <v>14441.55711</v>
      </c>
      <c r="H135" s="8">
        <f t="shared" si="46"/>
        <v>7.903392673</v>
      </c>
      <c r="I135" s="8">
        <f t="shared" si="46"/>
        <v>14764.85326</v>
      </c>
      <c r="J135" s="8">
        <f t="shared" si="46"/>
        <v>14764.85326</v>
      </c>
      <c r="K135" s="8">
        <f t="shared" si="46"/>
        <v>10.26150992</v>
      </c>
      <c r="L135" s="8">
        <f t="shared" si="46"/>
        <v>245.6</v>
      </c>
      <c r="M135" s="8">
        <f t="shared" si="46"/>
        <v>0</v>
      </c>
      <c r="O135" s="8">
        <f t="shared" ref="O135:P135" si="47">AVERAGE(O125:O134)</f>
        <v>14445.89549</v>
      </c>
      <c r="P135" s="8">
        <f t="shared" si="47"/>
        <v>42.18754177</v>
      </c>
      <c r="R135" s="8">
        <f t="shared" ref="R135:S135" si="48">AVERAGE(R125:R134)</f>
        <v>14206.62812</v>
      </c>
      <c r="S135" s="8">
        <f t="shared" si="48"/>
        <v>21.47968719</v>
      </c>
    </row>
    <row r="136">
      <c r="C136" s="1">
        <v>80.0</v>
      </c>
      <c r="D136" s="1">
        <v>15.0</v>
      </c>
      <c r="E136" s="1">
        <v>0.0</v>
      </c>
      <c r="G136" s="1">
        <v>3926.28532867694</v>
      </c>
      <c r="H136" s="1">
        <v>8.58584356307983</v>
      </c>
      <c r="I136" s="1">
        <v>4947.07321919779</v>
      </c>
      <c r="J136" s="1">
        <v>4911.24682860991</v>
      </c>
      <c r="K136" s="1">
        <v>3600.0048892498</v>
      </c>
      <c r="L136" s="1">
        <v>118673.0</v>
      </c>
      <c r="M136" s="1">
        <f t="shared" ref="M136:M145" si="49">TRUNC(100*(I136-J136)/I136,1)</f>
        <v>0.7</v>
      </c>
      <c r="O136" s="1">
        <v>3929.04627495637</v>
      </c>
      <c r="P136" s="1">
        <v>39.3827590942382</v>
      </c>
      <c r="R136" s="1">
        <v>3893.5567410633</v>
      </c>
      <c r="S136" s="1">
        <v>25.5776617527008</v>
      </c>
    </row>
    <row r="137">
      <c r="C137" s="1">
        <v>80.0</v>
      </c>
      <c r="D137" s="1">
        <v>15.0</v>
      </c>
      <c r="E137" s="1">
        <v>1.0</v>
      </c>
      <c r="G137" s="1">
        <v>4035.57045399734</v>
      </c>
      <c r="H137" s="1">
        <v>8.64506006240844</v>
      </c>
      <c r="I137" s="1">
        <v>5257.9899987106</v>
      </c>
      <c r="J137" s="1">
        <v>5214.99866086031</v>
      </c>
      <c r="K137" s="1">
        <v>3600.02809691429</v>
      </c>
      <c r="L137" s="1">
        <v>121653.0</v>
      </c>
      <c r="M137" s="1">
        <f t="shared" si="49"/>
        <v>0.8</v>
      </c>
      <c r="O137" s="1">
        <v>4037.55137491257</v>
      </c>
      <c r="P137" s="1">
        <v>43.3895895481109</v>
      </c>
      <c r="R137" s="1">
        <v>3999.63088310472</v>
      </c>
      <c r="S137" s="1">
        <v>22.5488803386688</v>
      </c>
    </row>
    <row r="138">
      <c r="C138" s="1">
        <v>80.0</v>
      </c>
      <c r="D138" s="1">
        <v>15.0</v>
      </c>
      <c r="E138" s="1">
        <v>2.0</v>
      </c>
      <c r="G138" s="1">
        <v>4034.2033256742</v>
      </c>
      <c r="H138" s="1">
        <v>8.65705204010009</v>
      </c>
      <c r="I138" s="1">
        <v>5011.73657412108</v>
      </c>
      <c r="J138" s="1">
        <v>5011.73657412108</v>
      </c>
      <c r="K138" s="1">
        <v>1257.13856005668</v>
      </c>
      <c r="L138" s="1">
        <v>66437.0</v>
      </c>
      <c r="M138" s="1">
        <f t="shared" si="49"/>
        <v>0</v>
      </c>
      <c r="O138" s="1">
        <v>4036.85643757837</v>
      </c>
      <c r="P138" s="1">
        <v>45.3586015701293</v>
      </c>
      <c r="R138" s="1">
        <v>4004.68656578014</v>
      </c>
      <c r="S138" s="1">
        <v>15.7625479698181</v>
      </c>
    </row>
    <row r="139">
      <c r="C139" s="1">
        <v>80.0</v>
      </c>
      <c r="D139" s="1">
        <v>15.0</v>
      </c>
      <c r="E139" s="1">
        <v>3.0</v>
      </c>
      <c r="G139" s="1">
        <v>3587.58595913204</v>
      </c>
      <c r="H139" s="1">
        <v>8.59206414222717</v>
      </c>
      <c r="I139" s="1">
        <v>4301.6841845256</v>
      </c>
      <c r="J139" s="1">
        <v>4292.57707392505</v>
      </c>
      <c r="K139" s="1">
        <v>3600.07013940811</v>
      </c>
      <c r="L139" s="1">
        <v>122803.0</v>
      </c>
      <c r="M139" s="1">
        <f t="shared" si="49"/>
        <v>0.2</v>
      </c>
      <c r="O139" s="1">
        <v>3590.49867698144</v>
      </c>
      <c r="P139" s="1">
        <v>46.9986848831176</v>
      </c>
      <c r="R139" s="1">
        <v>3531.63275402846</v>
      </c>
      <c r="S139" s="1">
        <v>17.3665401935577</v>
      </c>
    </row>
    <row r="140">
      <c r="C140" s="1">
        <v>80.0</v>
      </c>
      <c r="D140" s="1">
        <v>15.0</v>
      </c>
      <c r="E140" s="1">
        <v>4.0</v>
      </c>
      <c r="G140" s="1">
        <v>3940.58246890137</v>
      </c>
      <c r="H140" s="1">
        <v>8.60695672035217</v>
      </c>
      <c r="I140" s="1">
        <v>4821.99165163505</v>
      </c>
      <c r="J140" s="1">
        <v>4821.99165163505</v>
      </c>
      <c r="K140" s="1">
        <v>1001.20741772651</v>
      </c>
      <c r="L140" s="1">
        <v>56805.0</v>
      </c>
      <c r="M140" s="1">
        <f t="shared" si="49"/>
        <v>0</v>
      </c>
      <c r="O140" s="1">
        <v>3943.58767978696</v>
      </c>
      <c r="P140" s="1">
        <v>45.2674441337585</v>
      </c>
      <c r="R140" s="1">
        <v>3898.33799316371</v>
      </c>
      <c r="S140" s="1">
        <v>19.5051338672637</v>
      </c>
    </row>
    <row r="141">
      <c r="C141" s="1">
        <v>80.0</v>
      </c>
      <c r="D141" s="1">
        <v>15.0</v>
      </c>
      <c r="E141" s="1">
        <v>5.0</v>
      </c>
      <c r="G141" s="1">
        <v>3889.72725582161</v>
      </c>
      <c r="H141" s="1">
        <v>8.67913222312927</v>
      </c>
      <c r="I141" s="1">
        <v>4970.89776622282</v>
      </c>
      <c r="J141" s="1">
        <v>4937.71705511354</v>
      </c>
      <c r="K141" s="1">
        <v>3600.0151233673</v>
      </c>
      <c r="L141" s="1">
        <v>117907.0</v>
      </c>
      <c r="M141" s="1">
        <f t="shared" si="49"/>
        <v>0.6</v>
      </c>
      <c r="O141" s="1">
        <v>3892.42490018207</v>
      </c>
      <c r="P141" s="1">
        <v>46.9408326148986</v>
      </c>
      <c r="R141" s="1">
        <v>3871.72538301728</v>
      </c>
      <c r="S141" s="1">
        <v>18.5295617580413</v>
      </c>
    </row>
    <row r="142">
      <c r="C142" s="1">
        <v>80.0</v>
      </c>
      <c r="D142" s="1">
        <v>15.0</v>
      </c>
      <c r="E142" s="1">
        <v>6.0</v>
      </c>
      <c r="G142" s="1">
        <v>3565.61957673271</v>
      </c>
      <c r="H142" s="1">
        <v>8.65990090370178</v>
      </c>
      <c r="I142" s="1">
        <v>4298.42314731376</v>
      </c>
      <c r="J142" s="1">
        <v>4298.42314731376</v>
      </c>
      <c r="K142" s="1">
        <v>216.3307659626</v>
      </c>
      <c r="L142" s="1">
        <v>14415.0</v>
      </c>
      <c r="M142" s="1">
        <f t="shared" si="49"/>
        <v>0</v>
      </c>
      <c r="O142" s="1">
        <v>3568.27603623306</v>
      </c>
      <c r="P142" s="1">
        <v>41.619596004486</v>
      </c>
      <c r="R142" s="1">
        <v>3537.58061319027</v>
      </c>
      <c r="S142" s="1">
        <v>25.9559352397918</v>
      </c>
    </row>
    <row r="143">
      <c r="C143" s="1">
        <v>80.0</v>
      </c>
      <c r="D143" s="1">
        <v>15.0</v>
      </c>
      <c r="E143" s="1">
        <v>7.0</v>
      </c>
      <c r="G143" s="1">
        <v>3929.05393381381</v>
      </c>
      <c r="H143" s="1">
        <v>8.66333413124084</v>
      </c>
      <c r="I143" s="1">
        <v>4865.73151480608</v>
      </c>
      <c r="J143" s="1">
        <v>4818.14830892563</v>
      </c>
      <c r="K143" s="1">
        <v>3600.00700879097</v>
      </c>
      <c r="L143" s="1">
        <v>116463.0</v>
      </c>
      <c r="M143" s="1">
        <f t="shared" si="49"/>
        <v>0.9</v>
      </c>
      <c r="O143" s="1">
        <v>3931.72555808241</v>
      </c>
      <c r="P143" s="1">
        <v>38.8007357120513</v>
      </c>
      <c r="R143" s="1">
        <v>3871.28308087225</v>
      </c>
      <c r="S143" s="1">
        <v>21.9120190143585</v>
      </c>
    </row>
    <row r="144">
      <c r="C144" s="1">
        <v>80.0</v>
      </c>
      <c r="D144" s="1">
        <v>15.0</v>
      </c>
      <c r="E144" s="1">
        <v>8.0</v>
      </c>
      <c r="G144" s="1">
        <v>2757.83790168394</v>
      </c>
      <c r="H144" s="1">
        <v>8.61526846885681</v>
      </c>
      <c r="I144" s="1">
        <v>3722.58267751532</v>
      </c>
      <c r="J144" s="1">
        <v>3649.52518251411</v>
      </c>
      <c r="K144" s="1">
        <v>3600.04599261283</v>
      </c>
      <c r="L144" s="1">
        <v>113737.0</v>
      </c>
      <c r="M144" s="1">
        <f t="shared" si="49"/>
        <v>1.9</v>
      </c>
      <c r="O144" s="1">
        <v>2760.02794639031</v>
      </c>
      <c r="P144" s="1">
        <v>33.6248550415039</v>
      </c>
      <c r="R144" s="1">
        <v>2696.09947157986</v>
      </c>
      <c r="S144" s="1">
        <v>17.1160745620727</v>
      </c>
    </row>
    <row r="145">
      <c r="C145" s="1">
        <v>80.0</v>
      </c>
      <c r="D145" s="1">
        <v>15.0</v>
      </c>
      <c r="E145" s="1">
        <v>9.0</v>
      </c>
      <c r="G145" s="1">
        <v>3354.17720458297</v>
      </c>
      <c r="H145" s="1">
        <v>8.57990145683288</v>
      </c>
      <c r="I145" s="1">
        <v>4177.74101365666</v>
      </c>
      <c r="J145" s="1">
        <v>4177.74101365666</v>
      </c>
      <c r="K145" s="1">
        <v>556.77659368515</v>
      </c>
      <c r="L145" s="1">
        <v>35155.0</v>
      </c>
      <c r="M145" s="1">
        <f t="shared" si="49"/>
        <v>0</v>
      </c>
      <c r="O145" s="1">
        <v>3357.14515524598</v>
      </c>
      <c r="P145" s="1">
        <v>57.2039451599121</v>
      </c>
      <c r="R145" s="1">
        <v>3316.82428320224</v>
      </c>
      <c r="S145" s="1">
        <v>23.7346808910369</v>
      </c>
    </row>
    <row r="146">
      <c r="C146" s="1"/>
      <c r="D146" s="1"/>
      <c r="E146" s="1"/>
      <c r="G146" s="8">
        <f t="shared" ref="G146:M146" si="50">AVERAGE(G136:G145)</f>
        <v>3702.064341</v>
      </c>
      <c r="H146" s="8">
        <f t="shared" si="50"/>
        <v>8.628451371</v>
      </c>
      <c r="I146" s="8">
        <f t="shared" si="50"/>
        <v>4637.585175</v>
      </c>
      <c r="J146" s="8">
        <f t="shared" si="50"/>
        <v>4613.41055</v>
      </c>
      <c r="K146" s="8">
        <f t="shared" si="50"/>
        <v>2463.162459</v>
      </c>
      <c r="L146" s="8">
        <f t="shared" si="50"/>
        <v>88404.8</v>
      </c>
      <c r="M146" s="8">
        <f t="shared" si="50"/>
        <v>0.51</v>
      </c>
      <c r="O146" s="8">
        <f t="shared" ref="O146:P146" si="51">AVERAGE(O136:O145)</f>
        <v>3704.714004</v>
      </c>
      <c r="P146" s="8">
        <f t="shared" si="51"/>
        <v>43.85870438</v>
      </c>
      <c r="R146" s="8">
        <f t="shared" ref="R146:S146" si="52">AVERAGE(R136:R145)</f>
        <v>3662.135777</v>
      </c>
      <c r="S146" s="8">
        <f t="shared" si="52"/>
        <v>20.80090356</v>
      </c>
    </row>
    <row r="147">
      <c r="C147" s="1">
        <v>80.0</v>
      </c>
      <c r="D147" s="1">
        <v>20.0</v>
      </c>
      <c r="E147" s="1">
        <v>0.0</v>
      </c>
      <c r="G147" s="1">
        <v>6486.91924525157</v>
      </c>
      <c r="H147" s="1">
        <v>8.71829485893249</v>
      </c>
      <c r="I147" s="1">
        <v>7381.9834220271</v>
      </c>
      <c r="J147" s="1">
        <v>7381.9834220271</v>
      </c>
      <c r="K147" s="1">
        <v>340.696726322174</v>
      </c>
      <c r="L147" s="1">
        <v>24403.0</v>
      </c>
      <c r="M147" s="1">
        <f t="shared" ref="M147:M156" si="53">TRUNC(100*(I147-J147)/I147,1)</f>
        <v>0</v>
      </c>
      <c r="O147" s="1">
        <v>6490.51791755802</v>
      </c>
      <c r="P147" s="1">
        <v>52.538569688797</v>
      </c>
      <c r="R147" s="1">
        <v>6390.83885082405</v>
      </c>
      <c r="S147" s="1">
        <v>22.6193737983703</v>
      </c>
    </row>
    <row r="148">
      <c r="C148" s="1">
        <v>80.0</v>
      </c>
      <c r="D148" s="1">
        <v>20.0</v>
      </c>
      <c r="E148" s="1">
        <v>1.0</v>
      </c>
      <c r="G148" s="1">
        <v>6557.95772137831</v>
      </c>
      <c r="H148" s="1">
        <v>8.73606872558593</v>
      </c>
      <c r="I148" s="1">
        <v>7653.57739849801</v>
      </c>
      <c r="J148" s="1">
        <v>7653.57739849801</v>
      </c>
      <c r="K148" s="1">
        <v>436.276501178741</v>
      </c>
      <c r="L148" s="1">
        <v>32869.0</v>
      </c>
      <c r="M148" s="1">
        <f t="shared" si="53"/>
        <v>0</v>
      </c>
      <c r="O148" s="1">
        <v>6560.81241270823</v>
      </c>
      <c r="P148" s="1">
        <v>66.2618684768676</v>
      </c>
      <c r="R148" s="1">
        <v>6522.5301887163</v>
      </c>
      <c r="S148" s="1">
        <v>29.9874184131622</v>
      </c>
    </row>
    <row r="149">
      <c r="C149" s="1">
        <v>80.0</v>
      </c>
      <c r="D149" s="1">
        <v>20.0</v>
      </c>
      <c r="E149" s="1">
        <v>2.0</v>
      </c>
      <c r="G149" s="1">
        <v>6789.55619949138</v>
      </c>
      <c r="H149" s="1">
        <v>8.73887038230896</v>
      </c>
      <c r="I149" s="1">
        <v>7434.10401891571</v>
      </c>
      <c r="J149" s="1">
        <v>7434.10401891571</v>
      </c>
      <c r="K149" s="1">
        <v>33.6512646675109</v>
      </c>
      <c r="L149" s="1">
        <v>1875.0</v>
      </c>
      <c r="M149" s="1">
        <f t="shared" si="53"/>
        <v>0</v>
      </c>
      <c r="O149" s="1">
        <v>6793.50969710325</v>
      </c>
      <c r="P149" s="1">
        <v>42.3155477046966</v>
      </c>
      <c r="R149" s="1">
        <v>6724.76071531101</v>
      </c>
      <c r="S149" s="1">
        <v>23.3152661323547</v>
      </c>
    </row>
    <row r="150">
      <c r="C150" s="1">
        <v>80.0</v>
      </c>
      <c r="D150" s="1">
        <v>20.0</v>
      </c>
      <c r="E150" s="1">
        <v>3.0</v>
      </c>
      <c r="G150" s="1">
        <v>5873.84652023717</v>
      </c>
      <c r="H150" s="1">
        <v>8.75637912750244</v>
      </c>
      <c r="I150" s="1">
        <v>6343.13447823641</v>
      </c>
      <c r="J150" s="1">
        <v>6343.13447823641</v>
      </c>
      <c r="K150" s="1">
        <v>79.1465640068054</v>
      </c>
      <c r="L150" s="1">
        <v>5043.0</v>
      </c>
      <c r="M150" s="1">
        <f t="shared" si="53"/>
        <v>0</v>
      </c>
      <c r="O150" s="1">
        <v>5877.42739461214</v>
      </c>
      <c r="P150" s="1">
        <v>41.6076960563659</v>
      </c>
      <c r="R150" s="1">
        <v>5761.47682644322</v>
      </c>
      <c r="S150" s="1">
        <v>19.6707797050476</v>
      </c>
    </row>
    <row r="151">
      <c r="C151" s="1">
        <v>80.0</v>
      </c>
      <c r="D151" s="1">
        <v>20.0</v>
      </c>
      <c r="E151" s="1">
        <v>4.0</v>
      </c>
      <c r="G151" s="1">
        <v>6403.98568189564</v>
      </c>
      <c r="H151" s="1">
        <v>8.79615449905395</v>
      </c>
      <c r="I151" s="1">
        <v>7247.84579426132</v>
      </c>
      <c r="J151" s="1">
        <v>7247.84579426132</v>
      </c>
      <c r="K151" s="1">
        <v>131.999215126037</v>
      </c>
      <c r="L151" s="1">
        <v>9433.0</v>
      </c>
      <c r="M151" s="1">
        <f t="shared" si="53"/>
        <v>0</v>
      </c>
      <c r="O151" s="1">
        <v>6407.22666149684</v>
      </c>
      <c r="P151" s="1">
        <v>50.387540102005</v>
      </c>
      <c r="R151" s="1">
        <v>6344.72515931034</v>
      </c>
      <c r="S151" s="1">
        <v>26.8103158473968</v>
      </c>
    </row>
    <row r="152">
      <c r="C152" s="1">
        <v>80.0</v>
      </c>
      <c r="D152" s="1">
        <v>20.0</v>
      </c>
      <c r="E152" s="1">
        <v>5.0</v>
      </c>
      <c r="G152" s="1">
        <v>6569.00903332331</v>
      </c>
      <c r="H152" s="1">
        <v>8.76586818695068</v>
      </c>
      <c r="I152" s="1">
        <v>7576.50439038083</v>
      </c>
      <c r="J152" s="1">
        <v>7576.50439038083</v>
      </c>
      <c r="K152" s="1">
        <v>362.148662805557</v>
      </c>
      <c r="L152" s="1">
        <v>23953.0</v>
      </c>
      <c r="M152" s="1">
        <f t="shared" si="53"/>
        <v>0</v>
      </c>
      <c r="O152" s="1">
        <v>6572.7464027487</v>
      </c>
      <c r="P152" s="1">
        <v>34.4296624660491</v>
      </c>
      <c r="R152" s="1">
        <v>6493.98828287201</v>
      </c>
      <c r="S152" s="1">
        <v>22.0404393672943</v>
      </c>
    </row>
    <row r="153">
      <c r="C153" s="1">
        <v>80.0</v>
      </c>
      <c r="D153" s="1">
        <v>20.0</v>
      </c>
      <c r="E153" s="1">
        <v>6.0</v>
      </c>
      <c r="G153" s="1">
        <v>6056.03468152579</v>
      </c>
      <c r="H153" s="1">
        <v>8.7801034450531</v>
      </c>
      <c r="I153" s="1">
        <v>6715.92279106957</v>
      </c>
      <c r="J153" s="1">
        <v>6715.92279106957</v>
      </c>
      <c r="K153" s="1">
        <v>72.4220373630523</v>
      </c>
      <c r="L153" s="1">
        <v>4541.0</v>
      </c>
      <c r="M153" s="1">
        <f t="shared" si="53"/>
        <v>0</v>
      </c>
      <c r="O153" s="1">
        <v>6059.7301714885</v>
      </c>
      <c r="P153" s="1">
        <v>57.6966245174407</v>
      </c>
      <c r="R153" s="1">
        <v>5989.83194067977</v>
      </c>
      <c r="S153" s="1">
        <v>21.4010417461395</v>
      </c>
    </row>
    <row r="154">
      <c r="C154" s="1">
        <v>80.0</v>
      </c>
      <c r="D154" s="1">
        <v>20.0</v>
      </c>
      <c r="E154" s="1">
        <v>7.0</v>
      </c>
      <c r="G154" s="1">
        <v>6348.54407881125</v>
      </c>
      <c r="H154" s="1">
        <v>8.77324533462524</v>
      </c>
      <c r="I154" s="1">
        <v>7171.87778349165</v>
      </c>
      <c r="J154" s="1">
        <v>7171.87778349165</v>
      </c>
      <c r="K154" s="1">
        <v>1002.53902053833</v>
      </c>
      <c r="L154" s="1">
        <v>59287.0</v>
      </c>
      <c r="M154" s="1">
        <f t="shared" si="53"/>
        <v>0</v>
      </c>
      <c r="O154" s="1">
        <v>6351.97992756618</v>
      </c>
      <c r="P154" s="1">
        <v>74.1488599777221</v>
      </c>
      <c r="R154" s="1">
        <v>6263.23586633863</v>
      </c>
      <c r="S154" s="1">
        <v>22.753662109375</v>
      </c>
    </row>
    <row r="155">
      <c r="C155" s="1">
        <v>80.0</v>
      </c>
      <c r="D155" s="1">
        <v>20.0</v>
      </c>
      <c r="E155" s="1">
        <v>8.0</v>
      </c>
      <c r="G155" s="1">
        <v>4659.29341380954</v>
      </c>
      <c r="H155" s="1">
        <v>8.72674441337585</v>
      </c>
      <c r="I155" s="1">
        <v>5443.30297017622</v>
      </c>
      <c r="J155" s="1">
        <v>5443.30297017622</v>
      </c>
      <c r="K155" s="1">
        <v>1730.92885446548</v>
      </c>
      <c r="L155" s="1">
        <v>87867.0</v>
      </c>
      <c r="M155" s="1">
        <f t="shared" si="53"/>
        <v>0</v>
      </c>
      <c r="O155" s="1">
        <v>4662.1665159411</v>
      </c>
      <c r="P155" s="1">
        <v>54.4438445568084</v>
      </c>
      <c r="R155" s="1">
        <v>4548.16290578015</v>
      </c>
      <c r="S155" s="1">
        <v>27.0981605052948</v>
      </c>
    </row>
    <row r="156">
      <c r="C156" s="1">
        <v>80.0</v>
      </c>
      <c r="D156" s="1">
        <v>20.0</v>
      </c>
      <c r="E156" s="1">
        <v>9.0</v>
      </c>
      <c r="G156" s="1">
        <v>5865.74921418031</v>
      </c>
      <c r="H156" s="1">
        <v>8.70759987831115</v>
      </c>
      <c r="I156" s="1">
        <v>6457.92359620314</v>
      </c>
      <c r="J156" s="1">
        <v>6457.92359620314</v>
      </c>
      <c r="K156" s="1">
        <v>41.4018146991729</v>
      </c>
      <c r="L156" s="1">
        <v>2347.0</v>
      </c>
      <c r="M156" s="1">
        <f t="shared" si="53"/>
        <v>0</v>
      </c>
      <c r="O156" s="1">
        <v>5869.89963085581</v>
      </c>
      <c r="P156" s="1">
        <v>48.8639612197876</v>
      </c>
      <c r="R156" s="1">
        <v>5785.26266812207</v>
      </c>
      <c r="S156" s="1">
        <v>25.009532213211</v>
      </c>
    </row>
    <row r="157">
      <c r="C157" s="1"/>
      <c r="D157" s="1"/>
      <c r="E157" s="1"/>
      <c r="G157" s="8">
        <f t="shared" ref="G157:M157" si="54">AVERAGE(G147:G156)</f>
        <v>6161.089579</v>
      </c>
      <c r="H157" s="8">
        <f t="shared" si="54"/>
        <v>8.749932885</v>
      </c>
      <c r="I157" s="8">
        <f t="shared" si="54"/>
        <v>6942.617664</v>
      </c>
      <c r="J157" s="8">
        <f t="shared" si="54"/>
        <v>6942.617664</v>
      </c>
      <c r="K157" s="8">
        <f t="shared" si="54"/>
        <v>423.1210661</v>
      </c>
      <c r="L157" s="8">
        <f t="shared" si="54"/>
        <v>25161.8</v>
      </c>
      <c r="M157" s="8">
        <f t="shared" si="54"/>
        <v>0</v>
      </c>
      <c r="O157" s="8">
        <f t="shared" ref="O157:P157" si="55">AVERAGE(O147:O156)</f>
        <v>6164.601673</v>
      </c>
      <c r="P157" s="8">
        <f t="shared" si="55"/>
        <v>52.26941748</v>
      </c>
      <c r="R157" s="8">
        <f t="shared" ref="R157:S157" si="56">AVERAGE(R147:R156)</f>
        <v>6082.48134</v>
      </c>
      <c r="S157" s="8">
        <f t="shared" si="56"/>
        <v>24.07059898</v>
      </c>
    </row>
    <row r="158">
      <c r="C158" s="1">
        <v>80.0</v>
      </c>
      <c r="D158" s="1">
        <v>25.0</v>
      </c>
      <c r="E158" s="1">
        <v>0.0</v>
      </c>
      <c r="G158" s="1">
        <v>10183.6408101052</v>
      </c>
      <c r="H158" s="1">
        <v>8.91518712043762</v>
      </c>
      <c r="I158" s="1">
        <v>10811.6790780719</v>
      </c>
      <c r="J158" s="1">
        <v>10811.6790780719</v>
      </c>
      <c r="K158" s="1">
        <v>25.3586406707763</v>
      </c>
      <c r="L158" s="1">
        <v>1427.0</v>
      </c>
      <c r="M158" s="1">
        <f t="shared" ref="M158:M167" si="57">TRUNC(100*(I158-J158)/I158,1)</f>
        <v>0</v>
      </c>
      <c r="O158" s="1">
        <v>10187.8797975695</v>
      </c>
      <c r="P158" s="1">
        <v>40.343197107315</v>
      </c>
      <c r="R158" s="1">
        <v>10057.7811293279</v>
      </c>
      <c r="S158" s="1">
        <v>27.0200908184051</v>
      </c>
    </row>
    <row r="159">
      <c r="C159" s="1">
        <v>80.0</v>
      </c>
      <c r="D159" s="1">
        <v>25.0</v>
      </c>
      <c r="E159" s="1">
        <v>1.0</v>
      </c>
      <c r="G159" s="1">
        <v>10379.1829879102</v>
      </c>
      <c r="H159" s="1">
        <v>8.90232372283935</v>
      </c>
      <c r="I159" s="1">
        <v>11308.6918386255</v>
      </c>
      <c r="J159" s="1">
        <v>11308.6918386255</v>
      </c>
      <c r="K159" s="1">
        <v>68.6279497146606</v>
      </c>
      <c r="L159" s="1">
        <v>5439.0</v>
      </c>
      <c r="M159" s="1">
        <f t="shared" si="57"/>
        <v>0</v>
      </c>
      <c r="O159" s="1">
        <v>10383.6994471554</v>
      </c>
      <c r="P159" s="1">
        <v>61.6508166790008</v>
      </c>
      <c r="R159" s="1">
        <v>10310.9107756935</v>
      </c>
      <c r="S159" s="1">
        <v>42.2285683155059</v>
      </c>
    </row>
    <row r="160">
      <c r="C160" s="1">
        <v>80.0</v>
      </c>
      <c r="D160" s="1">
        <v>25.0</v>
      </c>
      <c r="E160" s="1">
        <v>2.0</v>
      </c>
      <c r="G160" s="1">
        <v>10812.7092259751</v>
      </c>
      <c r="H160" s="1">
        <v>8.8885383605957</v>
      </c>
      <c r="I160" s="1">
        <v>11309.2278596216</v>
      </c>
      <c r="J160" s="1">
        <v>11309.2278596216</v>
      </c>
      <c r="K160" s="1">
        <v>16.9310939311981</v>
      </c>
      <c r="L160" s="1">
        <v>615.0</v>
      </c>
      <c r="M160" s="1">
        <f t="shared" si="57"/>
        <v>0</v>
      </c>
      <c r="O160" s="1">
        <v>10817.7898983514</v>
      </c>
      <c r="P160" s="1">
        <v>43.1951189041137</v>
      </c>
      <c r="R160" s="1">
        <v>10618.2386873071</v>
      </c>
      <c r="S160" s="1">
        <v>31.088492155075</v>
      </c>
    </row>
    <row r="161">
      <c r="C161" s="1">
        <v>80.0</v>
      </c>
      <c r="D161" s="1">
        <v>25.0</v>
      </c>
      <c r="E161" s="1">
        <v>3.0</v>
      </c>
      <c r="G161" s="1">
        <v>9083.68890755868</v>
      </c>
      <c r="H161" s="1">
        <v>8.87121534347534</v>
      </c>
      <c r="I161" s="1">
        <v>9373.47101071415</v>
      </c>
      <c r="J161" s="1">
        <v>9373.47101071415</v>
      </c>
      <c r="K161" s="1">
        <v>20.0736739635467</v>
      </c>
      <c r="L161" s="1">
        <v>903.0</v>
      </c>
      <c r="M161" s="1">
        <f t="shared" si="57"/>
        <v>0</v>
      </c>
      <c r="O161" s="1">
        <v>9087.41841525275</v>
      </c>
      <c r="P161" s="1">
        <v>44.7845201492309</v>
      </c>
      <c r="R161" s="1">
        <v>8925.70625449834</v>
      </c>
      <c r="S161" s="1">
        <v>23.6980743408203</v>
      </c>
    </row>
    <row r="162">
      <c r="C162" s="1">
        <v>80.0</v>
      </c>
      <c r="D162" s="1">
        <v>25.0</v>
      </c>
      <c r="E162" s="1">
        <v>4.0</v>
      </c>
      <c r="G162" s="1">
        <v>10000.2738451864</v>
      </c>
      <c r="H162" s="1">
        <v>8.87734007835388</v>
      </c>
      <c r="I162" s="1">
        <v>10735.1770649544</v>
      </c>
      <c r="J162" s="1">
        <v>10735.1770649544</v>
      </c>
      <c r="K162" s="1">
        <v>108.215350151062</v>
      </c>
      <c r="L162" s="1">
        <v>8525.0</v>
      </c>
      <c r="M162" s="1">
        <f t="shared" si="57"/>
        <v>0</v>
      </c>
      <c r="O162" s="1">
        <v>10003.6839741453</v>
      </c>
      <c r="P162" s="1">
        <v>36.9794685840606</v>
      </c>
      <c r="R162" s="1">
        <v>9866.77020115201</v>
      </c>
      <c r="S162" s="1">
        <v>27.1825227737426</v>
      </c>
    </row>
    <row r="163">
      <c r="C163" s="1">
        <v>80.0</v>
      </c>
      <c r="D163" s="1">
        <v>25.0</v>
      </c>
      <c r="E163" s="1">
        <v>5.0</v>
      </c>
      <c r="G163" s="1">
        <v>10513.7104211556</v>
      </c>
      <c r="H163" s="1">
        <v>8.91402220726013</v>
      </c>
      <c r="I163" s="1">
        <v>11429.6723557733</v>
      </c>
      <c r="J163" s="1">
        <v>11429.6723557733</v>
      </c>
      <c r="K163" s="1">
        <v>128.242431879043</v>
      </c>
      <c r="L163" s="1">
        <v>8687.0</v>
      </c>
      <c r="M163" s="1">
        <f t="shared" si="57"/>
        <v>0</v>
      </c>
      <c r="O163" s="1">
        <v>10518.1622515941</v>
      </c>
      <c r="P163" s="1">
        <v>34.7725870609283</v>
      </c>
      <c r="R163" s="1">
        <v>10306.5729869607</v>
      </c>
      <c r="S163" s="1">
        <v>27.7747685909271</v>
      </c>
    </row>
    <row r="164">
      <c r="C164" s="1">
        <v>80.0</v>
      </c>
      <c r="D164" s="1">
        <v>25.0</v>
      </c>
      <c r="E164" s="1">
        <v>6.0</v>
      </c>
      <c r="G164" s="1">
        <v>9758.87830052722</v>
      </c>
      <c r="H164" s="1">
        <v>8.85796856880188</v>
      </c>
      <c r="I164" s="1">
        <v>10290.7264224394</v>
      </c>
      <c r="J164" s="1">
        <v>10290.7264224394</v>
      </c>
      <c r="K164" s="1">
        <v>26.071995973587</v>
      </c>
      <c r="L164" s="1">
        <v>1301.0</v>
      </c>
      <c r="M164" s="1">
        <f t="shared" si="57"/>
        <v>0</v>
      </c>
      <c r="O164" s="1">
        <v>9763.46458359683</v>
      </c>
      <c r="P164" s="1">
        <v>58.2025439739227</v>
      </c>
      <c r="R164" s="1">
        <v>9580.63240039459</v>
      </c>
      <c r="S164" s="1">
        <v>37.1679270267486</v>
      </c>
    </row>
    <row r="165">
      <c r="C165" s="1">
        <v>80.0</v>
      </c>
      <c r="D165" s="1">
        <v>25.0</v>
      </c>
      <c r="E165" s="1">
        <v>7.0</v>
      </c>
      <c r="G165" s="1">
        <v>9805.3462005776</v>
      </c>
      <c r="H165" s="1">
        <v>9.07874774932861</v>
      </c>
      <c r="I165" s="1">
        <v>10345.292779082</v>
      </c>
      <c r="J165" s="1">
        <v>10345.292779082</v>
      </c>
      <c r="K165" s="1">
        <v>30.8913600444793</v>
      </c>
      <c r="L165" s="1">
        <v>1913.0</v>
      </c>
      <c r="M165" s="1">
        <f t="shared" si="57"/>
        <v>0</v>
      </c>
      <c r="O165" s="1">
        <v>9809.40794778001</v>
      </c>
      <c r="P165" s="1">
        <v>64.0964288711547</v>
      </c>
      <c r="R165" s="1">
        <v>9688.08366680882</v>
      </c>
      <c r="S165" s="1">
        <v>34.1320462226867</v>
      </c>
    </row>
    <row r="166">
      <c r="C166" s="1">
        <v>80.0</v>
      </c>
      <c r="D166" s="1">
        <v>25.0</v>
      </c>
      <c r="E166" s="1">
        <v>8.0</v>
      </c>
      <c r="G166" s="1">
        <v>7362.38258266875</v>
      </c>
      <c r="H166" s="1">
        <v>8.9243676662445</v>
      </c>
      <c r="I166" s="1">
        <v>7938.01534724933</v>
      </c>
      <c r="J166" s="1">
        <v>7938.01534724933</v>
      </c>
      <c r="K166" s="1">
        <v>36.7071614265441</v>
      </c>
      <c r="L166" s="1">
        <v>2573.0</v>
      </c>
      <c r="M166" s="1">
        <f t="shared" si="57"/>
        <v>0</v>
      </c>
      <c r="O166" s="1">
        <v>7364.43444596073</v>
      </c>
      <c r="P166" s="1">
        <v>43.4476156234741</v>
      </c>
      <c r="R166" s="1">
        <v>7281.6782023014</v>
      </c>
      <c r="S166" s="1">
        <v>30.177140712738</v>
      </c>
    </row>
    <row r="167">
      <c r="C167" s="1">
        <v>80.0</v>
      </c>
      <c r="D167" s="1">
        <v>25.0</v>
      </c>
      <c r="E167" s="1">
        <v>9.0</v>
      </c>
      <c r="G167" s="1">
        <v>9579.90947552904</v>
      </c>
      <c r="H167" s="1">
        <v>8.88037657737732</v>
      </c>
      <c r="I167" s="1">
        <v>10121.1285255018</v>
      </c>
      <c r="J167" s="1">
        <v>10121.1285255018</v>
      </c>
      <c r="K167" s="1">
        <v>40.6294164657592</v>
      </c>
      <c r="L167" s="1">
        <v>2257.0</v>
      </c>
      <c r="M167" s="1">
        <f t="shared" si="57"/>
        <v>0</v>
      </c>
      <c r="O167" s="1">
        <v>9584.81574821852</v>
      </c>
      <c r="P167" s="1">
        <v>39.9468202590942</v>
      </c>
      <c r="R167" s="1">
        <v>9379.48391130376</v>
      </c>
      <c r="S167" s="1">
        <v>25.461897611618</v>
      </c>
    </row>
    <row r="168">
      <c r="C168" s="1"/>
      <c r="D168" s="1"/>
      <c r="E168" s="1"/>
      <c r="G168" s="8">
        <f t="shared" ref="G168:M168" si="58">AVERAGE(G158:G167)</f>
        <v>9747.972276</v>
      </c>
      <c r="H168" s="8">
        <f t="shared" si="58"/>
        <v>8.911008739</v>
      </c>
      <c r="I168" s="8">
        <f t="shared" si="58"/>
        <v>10366.30823</v>
      </c>
      <c r="J168" s="8">
        <f t="shared" si="58"/>
        <v>10366.30823</v>
      </c>
      <c r="K168" s="8">
        <f t="shared" si="58"/>
        <v>50.17490742</v>
      </c>
      <c r="L168" s="8">
        <f t="shared" si="58"/>
        <v>3364</v>
      </c>
      <c r="M168" s="8">
        <f t="shared" si="58"/>
        <v>0</v>
      </c>
      <c r="O168" s="8">
        <f t="shared" ref="O168:P168" si="59">AVERAGE(O158:O167)</f>
        <v>9752.075651</v>
      </c>
      <c r="P168" s="8">
        <f t="shared" si="59"/>
        <v>46.74191172</v>
      </c>
      <c r="R168" s="8">
        <f t="shared" ref="R168:S168" si="60">AVERAGE(R158:R167)</f>
        <v>9601.585822</v>
      </c>
      <c r="S168" s="8">
        <f t="shared" si="60"/>
        <v>30.59315286</v>
      </c>
    </row>
    <row r="169">
      <c r="C169" s="1">
        <v>80.0</v>
      </c>
      <c r="D169" s="1">
        <v>30.0</v>
      </c>
      <c r="E169" s="1">
        <v>0.0</v>
      </c>
      <c r="G169" s="1">
        <v>15178.7761311472</v>
      </c>
      <c r="H169" s="1">
        <v>9.02651977539062</v>
      </c>
      <c r="I169" s="1">
        <v>15570.5840362373</v>
      </c>
      <c r="J169" s="1">
        <v>15570.5840362373</v>
      </c>
      <c r="K169" s="1">
        <v>10.9993467330932</v>
      </c>
      <c r="L169" s="1">
        <v>177.0</v>
      </c>
      <c r="M169" s="1">
        <f t="shared" ref="M169:M178" si="61">TRUNC(100*(I169-J169)/I169,1)</f>
        <v>0</v>
      </c>
      <c r="O169" s="1">
        <v>15183.1227380158</v>
      </c>
      <c r="P169" s="1">
        <v>57.2278382778167</v>
      </c>
      <c r="R169" s="1">
        <v>15013.0047775055</v>
      </c>
      <c r="S169" s="1">
        <v>30.315942287445</v>
      </c>
    </row>
    <row r="170">
      <c r="C170" s="1">
        <v>80.0</v>
      </c>
      <c r="D170" s="1">
        <v>30.0</v>
      </c>
      <c r="E170" s="1">
        <v>1.0</v>
      </c>
      <c r="G170" s="1">
        <v>15996.1672729024</v>
      </c>
      <c r="H170" s="1">
        <v>9.02456283569336</v>
      </c>
      <c r="I170" s="1">
        <v>16542.3255070759</v>
      </c>
      <c r="J170" s="1">
        <v>16542.3255070759</v>
      </c>
      <c r="K170" s="1">
        <v>12.5241594314575</v>
      </c>
      <c r="L170" s="1">
        <v>331.0</v>
      </c>
      <c r="M170" s="1">
        <f t="shared" si="61"/>
        <v>0</v>
      </c>
      <c r="O170" s="1">
        <v>16000.9225510433</v>
      </c>
      <c r="P170" s="1">
        <v>55.8489139080047</v>
      </c>
      <c r="R170" s="1">
        <v>15831.1077109842</v>
      </c>
      <c r="S170" s="1">
        <v>26.8034927845001</v>
      </c>
    </row>
    <row r="171">
      <c r="C171" s="1">
        <v>80.0</v>
      </c>
      <c r="D171" s="1">
        <v>30.0</v>
      </c>
      <c r="E171" s="1">
        <v>2.0</v>
      </c>
      <c r="G171" s="1">
        <v>16190.1419049192</v>
      </c>
      <c r="H171" s="1">
        <v>9.04329109191894</v>
      </c>
      <c r="I171" s="1">
        <v>16567.0678815254</v>
      </c>
      <c r="J171" s="1">
        <v>16567.0678815254</v>
      </c>
      <c r="K171" s="1">
        <v>12.4920468330383</v>
      </c>
      <c r="L171" s="1">
        <v>267.0</v>
      </c>
      <c r="M171" s="1">
        <f t="shared" si="61"/>
        <v>0</v>
      </c>
      <c r="O171" s="1">
        <v>16197.2957459413</v>
      </c>
      <c r="P171" s="1">
        <v>55.8118798732757</v>
      </c>
      <c r="R171" s="1">
        <v>15817.9109080253</v>
      </c>
      <c r="S171" s="1">
        <v>34.3287827968597</v>
      </c>
    </row>
    <row r="172">
      <c r="C172" s="1">
        <v>80.0</v>
      </c>
      <c r="D172" s="1">
        <v>30.0</v>
      </c>
      <c r="E172" s="1">
        <v>3.0</v>
      </c>
      <c r="G172" s="1">
        <v>13325.1394647925</v>
      </c>
      <c r="H172" s="1">
        <v>9.04717779159545</v>
      </c>
      <c r="I172" s="1">
        <v>13385.8105527835</v>
      </c>
      <c r="J172" s="1">
        <v>13385.8105527835</v>
      </c>
      <c r="K172" s="1">
        <v>9.75451898574829</v>
      </c>
      <c r="L172" s="1">
        <v>71.0</v>
      </c>
      <c r="M172" s="1">
        <f t="shared" si="61"/>
        <v>0</v>
      </c>
      <c r="O172" s="1">
        <v>13329.1920075493</v>
      </c>
      <c r="P172" s="1">
        <v>40.0429604053497</v>
      </c>
      <c r="R172" s="1">
        <v>13159.4985873327</v>
      </c>
      <c r="S172" s="1">
        <v>26.2881228923797</v>
      </c>
    </row>
    <row r="173">
      <c r="C173" s="1">
        <v>80.0</v>
      </c>
      <c r="D173" s="1">
        <v>30.0</v>
      </c>
      <c r="E173" s="1">
        <v>4.0</v>
      </c>
      <c r="G173" s="1">
        <v>14881.8940599878</v>
      </c>
      <c r="H173" s="1">
        <v>9.06172013282775</v>
      </c>
      <c r="I173" s="1">
        <v>15340.8205232928</v>
      </c>
      <c r="J173" s="1">
        <v>15340.8205232928</v>
      </c>
      <c r="K173" s="1">
        <v>16.6492249965667</v>
      </c>
      <c r="L173" s="1">
        <v>699.0</v>
      </c>
      <c r="M173" s="1">
        <f t="shared" si="61"/>
        <v>0</v>
      </c>
      <c r="O173" s="1">
        <v>14886.3518785396</v>
      </c>
      <c r="P173" s="1">
        <v>63.8015060424804</v>
      </c>
      <c r="R173" s="1">
        <v>14683.5479886797</v>
      </c>
      <c r="S173" s="1">
        <v>30.7203314304351</v>
      </c>
    </row>
    <row r="174">
      <c r="C174" s="1">
        <v>80.0</v>
      </c>
      <c r="D174" s="1">
        <v>30.0</v>
      </c>
      <c r="E174" s="1">
        <v>5.0</v>
      </c>
      <c r="G174" s="1">
        <v>15776.772337791</v>
      </c>
      <c r="H174" s="1">
        <v>9.06795978546142</v>
      </c>
      <c r="I174" s="1">
        <v>16517.061795636</v>
      </c>
      <c r="J174" s="1">
        <v>16517.061795636</v>
      </c>
      <c r="K174" s="1">
        <v>40.9917614459991</v>
      </c>
      <c r="L174" s="1">
        <v>2519.0</v>
      </c>
      <c r="M174" s="1">
        <f t="shared" si="61"/>
        <v>0</v>
      </c>
      <c r="O174" s="1">
        <v>15782.1006797307</v>
      </c>
      <c r="P174" s="1">
        <v>44.8624684810638</v>
      </c>
      <c r="R174" s="1">
        <v>15415.6499370718</v>
      </c>
      <c r="S174" s="1">
        <v>31.3600113391876</v>
      </c>
    </row>
    <row r="175">
      <c r="C175" s="1">
        <v>80.0</v>
      </c>
      <c r="D175" s="1">
        <v>30.0</v>
      </c>
      <c r="E175" s="1">
        <v>6.0</v>
      </c>
      <c r="G175" s="1">
        <v>14806.7005539746</v>
      </c>
      <c r="H175" s="1">
        <v>9.0406002998352</v>
      </c>
      <c r="I175" s="1">
        <v>15144.7961234969</v>
      </c>
      <c r="J175" s="1">
        <v>15144.7961234969</v>
      </c>
      <c r="K175" s="1">
        <v>13.9981033802032</v>
      </c>
      <c r="L175" s="1">
        <v>391.0</v>
      </c>
      <c r="M175" s="1">
        <f t="shared" si="61"/>
        <v>0</v>
      </c>
      <c r="O175" s="1">
        <v>14812.8720718705</v>
      </c>
      <c r="P175" s="1">
        <v>58.9689819812774</v>
      </c>
      <c r="R175" s="1">
        <v>14446.4001668346</v>
      </c>
      <c r="S175" s="1">
        <v>28.1264009475708</v>
      </c>
    </row>
    <row r="176">
      <c r="C176" s="1">
        <v>80.0</v>
      </c>
      <c r="D176" s="1">
        <v>30.0</v>
      </c>
      <c r="E176" s="1">
        <v>7.0</v>
      </c>
      <c r="G176" s="1">
        <v>14626.6346193958</v>
      </c>
      <c r="H176" s="1">
        <v>9.0344340801239</v>
      </c>
      <c r="I176" s="1">
        <v>14939.5319782133</v>
      </c>
      <c r="J176" s="1">
        <v>14939.5319782133</v>
      </c>
      <c r="K176" s="1">
        <v>12.9833948612213</v>
      </c>
      <c r="L176" s="1">
        <v>353.0</v>
      </c>
      <c r="M176" s="1">
        <f t="shared" si="61"/>
        <v>0</v>
      </c>
      <c r="O176" s="1">
        <v>14630.8572505924</v>
      </c>
      <c r="P176" s="1">
        <v>51.3327219486236</v>
      </c>
      <c r="R176" s="1">
        <v>14434.9000458642</v>
      </c>
      <c r="S176" s="1">
        <v>27.7439019680023</v>
      </c>
    </row>
    <row r="177">
      <c r="C177" s="1">
        <v>80.0</v>
      </c>
      <c r="D177" s="1">
        <v>30.0</v>
      </c>
      <c r="E177" s="1">
        <v>8.0</v>
      </c>
      <c r="G177" s="1">
        <v>11638.7587124086</v>
      </c>
      <c r="H177" s="1">
        <v>9.04345965385437</v>
      </c>
      <c r="I177" s="1">
        <v>11979.5273293637</v>
      </c>
      <c r="J177" s="1">
        <v>11979.5273293637</v>
      </c>
      <c r="K177" s="1">
        <v>10.3456513881683</v>
      </c>
      <c r="L177" s="1">
        <v>125.0</v>
      </c>
      <c r="M177" s="1">
        <f t="shared" si="61"/>
        <v>0</v>
      </c>
      <c r="O177" s="1">
        <v>11641.50570176</v>
      </c>
      <c r="P177" s="1">
        <v>38.5744478702545</v>
      </c>
      <c r="R177" s="1">
        <v>11554.4682697255</v>
      </c>
      <c r="S177" s="1">
        <v>24.4810922145843</v>
      </c>
    </row>
    <row r="178">
      <c r="C178" s="1">
        <v>80.0</v>
      </c>
      <c r="D178" s="1">
        <v>30.0</v>
      </c>
      <c r="E178" s="1">
        <v>9.0</v>
      </c>
      <c r="G178" s="1">
        <v>14564.5097458781</v>
      </c>
      <c r="H178" s="1">
        <v>9.05256628990173</v>
      </c>
      <c r="I178" s="1">
        <v>15017.4750094678</v>
      </c>
      <c r="J178" s="1">
        <v>15017.4750094678</v>
      </c>
      <c r="K178" s="1">
        <v>23.1998620033264</v>
      </c>
      <c r="L178" s="1">
        <v>1085.0</v>
      </c>
      <c r="M178" s="1">
        <f t="shared" si="61"/>
        <v>0</v>
      </c>
      <c r="O178" s="1">
        <v>14570.009180479</v>
      </c>
      <c r="P178" s="1">
        <v>47.9044592380523</v>
      </c>
      <c r="R178" s="1">
        <v>14214.7416698883</v>
      </c>
      <c r="S178" s="1">
        <v>30.3671610355377</v>
      </c>
    </row>
    <row r="179">
      <c r="C179" s="1"/>
      <c r="D179" s="1"/>
      <c r="E179" s="1"/>
      <c r="G179" s="8">
        <f t="shared" ref="G179:M179" si="62">AVERAGE(G169:G178)</f>
        <v>14698.54948</v>
      </c>
      <c r="H179" s="8">
        <f t="shared" si="62"/>
        <v>9.044229174</v>
      </c>
      <c r="I179" s="8">
        <f t="shared" si="62"/>
        <v>15100.50007</v>
      </c>
      <c r="J179" s="8">
        <f t="shared" si="62"/>
        <v>15100.50007</v>
      </c>
      <c r="K179" s="8">
        <f t="shared" si="62"/>
        <v>16.39380701</v>
      </c>
      <c r="L179" s="8">
        <f t="shared" si="62"/>
        <v>601.8</v>
      </c>
      <c r="M179" s="8">
        <f t="shared" si="62"/>
        <v>0</v>
      </c>
      <c r="O179" s="8">
        <f t="shared" ref="O179:P179" si="63">AVERAGE(O169:O178)</f>
        <v>14703.42298</v>
      </c>
      <c r="P179" s="8">
        <f t="shared" si="63"/>
        <v>51.4376178</v>
      </c>
      <c r="R179" s="8">
        <f t="shared" ref="R179:S179" si="64">AVERAGE(R169:R178)</f>
        <v>14457.12301</v>
      </c>
      <c r="S179" s="8">
        <f t="shared" si="64"/>
        <v>29.05352397</v>
      </c>
    </row>
    <row r="180">
      <c r="C180" s="1">
        <v>90.0</v>
      </c>
      <c r="D180" s="1">
        <v>15.0</v>
      </c>
      <c r="E180" s="1">
        <v>0.0</v>
      </c>
      <c r="G180" s="1">
        <v>4255.7628541925</v>
      </c>
      <c r="H180" s="1">
        <v>10.0628583431243</v>
      </c>
      <c r="I180" s="1">
        <v>5293.08084865489</v>
      </c>
      <c r="J180" s="1">
        <v>5251.46300575415</v>
      </c>
      <c r="K180" s="1">
        <v>3600.03482341766</v>
      </c>
      <c r="L180" s="1">
        <v>110277.0</v>
      </c>
      <c r="M180" s="1">
        <f t="shared" ref="M180:M189" si="65">TRUNC(100*(I180-J180)/I180,1)</f>
        <v>0.7</v>
      </c>
      <c r="O180" s="1">
        <v>4258.35920851342</v>
      </c>
      <c r="P180" s="1">
        <v>73.748018503189</v>
      </c>
      <c r="R180" s="1">
        <v>4221.24494869678</v>
      </c>
      <c r="S180" s="1">
        <v>30.4955747127532</v>
      </c>
    </row>
    <row r="181">
      <c r="C181" s="1">
        <v>90.0</v>
      </c>
      <c r="D181" s="1">
        <v>15.0</v>
      </c>
      <c r="E181" s="1">
        <v>1.0</v>
      </c>
      <c r="G181" s="1">
        <v>4265.89320930148</v>
      </c>
      <c r="H181" s="1">
        <v>9.97159671783447</v>
      </c>
      <c r="I181" s="1">
        <v>5316.52458955277</v>
      </c>
      <c r="J181" s="1">
        <v>5309.14795869004</v>
      </c>
      <c r="K181" s="1">
        <v>3600.00540828704</v>
      </c>
      <c r="L181" s="1">
        <v>120465.0</v>
      </c>
      <c r="M181" s="1">
        <f t="shared" si="65"/>
        <v>0.1</v>
      </c>
      <c r="O181" s="1">
        <v>4268.78618304212</v>
      </c>
      <c r="P181" s="1">
        <v>64.6837110519409</v>
      </c>
      <c r="R181" s="1">
        <v>4219.6211327042</v>
      </c>
      <c r="S181" s="1">
        <v>28.683129787445</v>
      </c>
    </row>
    <row r="182">
      <c r="C182" s="1">
        <v>90.0</v>
      </c>
      <c r="D182" s="1">
        <v>15.0</v>
      </c>
      <c r="E182" s="1">
        <v>2.0</v>
      </c>
      <c r="G182" s="1">
        <v>3654.51797441417</v>
      </c>
      <c r="H182" s="1">
        <v>10.0727927684783</v>
      </c>
      <c r="I182" s="1">
        <v>4824.0012600392</v>
      </c>
      <c r="J182" s="1">
        <v>4696.36629524905</v>
      </c>
      <c r="K182" s="1">
        <v>3600.07249784469</v>
      </c>
      <c r="L182" s="1">
        <v>107005.0</v>
      </c>
      <c r="M182" s="1">
        <f t="shared" si="65"/>
        <v>2.6</v>
      </c>
      <c r="O182" s="1">
        <v>3657.0987336052</v>
      </c>
      <c r="P182" s="1">
        <v>49.0316410064697</v>
      </c>
      <c r="R182" s="1">
        <v>3636.50173486539</v>
      </c>
      <c r="S182" s="1">
        <v>26.0928449630737</v>
      </c>
    </row>
    <row r="183">
      <c r="C183" s="1">
        <v>90.0</v>
      </c>
      <c r="D183" s="1">
        <v>15.0</v>
      </c>
      <c r="E183" s="1">
        <v>3.0</v>
      </c>
      <c r="G183" s="1">
        <v>3482.14258990605</v>
      </c>
      <c r="H183" s="1">
        <v>10.0081152915954</v>
      </c>
      <c r="I183" s="1">
        <v>4881.75532599968</v>
      </c>
      <c r="J183" s="1">
        <v>4577.21110718102</v>
      </c>
      <c r="K183" s="1">
        <v>3600.00888395309</v>
      </c>
      <c r="L183" s="1">
        <v>106989.0</v>
      </c>
      <c r="M183" s="1">
        <f t="shared" si="65"/>
        <v>6.2</v>
      </c>
      <c r="O183" s="1">
        <v>3484.82913935438</v>
      </c>
      <c r="P183" s="1">
        <v>63.3638966083526</v>
      </c>
      <c r="R183" s="1">
        <v>3421.3036085026</v>
      </c>
      <c r="S183" s="1">
        <v>24.7574248313903</v>
      </c>
    </row>
    <row r="184">
      <c r="C184" s="1">
        <v>90.0</v>
      </c>
      <c r="D184" s="1">
        <v>15.0</v>
      </c>
      <c r="E184" s="1">
        <v>4.0</v>
      </c>
      <c r="G184" s="1">
        <v>2936.05435599239</v>
      </c>
      <c r="H184" s="1">
        <v>9.96656680107116</v>
      </c>
      <c r="I184" s="1">
        <v>3979.24917403323</v>
      </c>
      <c r="J184" s="1">
        <v>3873.53327071899</v>
      </c>
      <c r="K184" s="1">
        <v>3600.04752230644</v>
      </c>
      <c r="L184" s="1">
        <v>106657.0</v>
      </c>
      <c r="M184" s="1">
        <f t="shared" si="65"/>
        <v>2.6</v>
      </c>
      <c r="O184" s="1">
        <v>2938.86380671688</v>
      </c>
      <c r="P184" s="1">
        <v>52.6007752418518</v>
      </c>
      <c r="R184" s="1">
        <v>2894.51584168521</v>
      </c>
      <c r="S184" s="1">
        <v>34.5457441806793</v>
      </c>
    </row>
    <row r="185">
      <c r="C185" s="1">
        <v>90.0</v>
      </c>
      <c r="D185" s="1">
        <v>15.0</v>
      </c>
      <c r="E185" s="1">
        <v>5.0</v>
      </c>
      <c r="G185" s="1">
        <v>3288.39869758014</v>
      </c>
      <c r="H185" s="1">
        <v>9.95328593254089</v>
      </c>
      <c r="I185" s="1">
        <v>4383.26419085032</v>
      </c>
      <c r="J185" s="1">
        <v>4239.80544943527</v>
      </c>
      <c r="K185" s="1">
        <v>3600.02125740051</v>
      </c>
      <c r="L185" s="1">
        <v>107865.0</v>
      </c>
      <c r="M185" s="1">
        <f t="shared" si="65"/>
        <v>3.2</v>
      </c>
      <c r="O185" s="1">
        <v>3290.93467190288</v>
      </c>
      <c r="P185" s="1">
        <v>85.2103261947631</v>
      </c>
      <c r="R185" s="1">
        <v>3254.92309774748</v>
      </c>
      <c r="S185" s="1">
        <v>29.0525331497192</v>
      </c>
    </row>
    <row r="186">
      <c r="C186" s="1">
        <v>90.0</v>
      </c>
      <c r="D186" s="1">
        <v>15.0</v>
      </c>
      <c r="E186" s="1">
        <v>6.0</v>
      </c>
      <c r="G186" s="1">
        <v>3222.64195732118</v>
      </c>
      <c r="H186" s="1">
        <v>9.97169184684753</v>
      </c>
      <c r="I186" s="1">
        <v>4563.62939565298</v>
      </c>
      <c r="J186" s="1">
        <v>4308.6366062919</v>
      </c>
      <c r="K186" s="1">
        <v>3600.08297896385</v>
      </c>
      <c r="L186" s="1">
        <v>107173.0</v>
      </c>
      <c r="M186" s="1">
        <f t="shared" si="65"/>
        <v>5.5</v>
      </c>
      <c r="O186" s="1">
        <v>3224.97280189501</v>
      </c>
      <c r="P186" s="1">
        <v>62.5058634281158</v>
      </c>
      <c r="R186" s="1">
        <v>3181.03792210112</v>
      </c>
      <c r="S186" s="1">
        <v>20.1292648315429</v>
      </c>
    </row>
    <row r="187">
      <c r="C187" s="1">
        <v>90.0</v>
      </c>
      <c r="D187" s="1">
        <v>15.0</v>
      </c>
      <c r="E187" s="1">
        <v>7.0</v>
      </c>
      <c r="G187" s="1">
        <v>3601.21833229221</v>
      </c>
      <c r="H187" s="1">
        <v>10.0082216262817</v>
      </c>
      <c r="I187" s="1">
        <v>4877.41817399707</v>
      </c>
      <c r="J187" s="1">
        <v>4744.56045193685</v>
      </c>
      <c r="K187" s="1">
        <v>3600.04777693748</v>
      </c>
      <c r="L187" s="1">
        <v>107161.0</v>
      </c>
      <c r="M187" s="1">
        <f t="shared" si="65"/>
        <v>2.7</v>
      </c>
      <c r="O187" s="1">
        <v>3603.83408657364</v>
      </c>
      <c r="P187" s="1">
        <v>58.1102108955383</v>
      </c>
      <c r="R187" s="1">
        <v>3539.6605058747</v>
      </c>
      <c r="S187" s="1">
        <v>31.7104172706604</v>
      </c>
    </row>
    <row r="188">
      <c r="C188" s="1">
        <v>90.0</v>
      </c>
      <c r="D188" s="1">
        <v>15.0</v>
      </c>
      <c r="E188" s="1">
        <v>8.0</v>
      </c>
      <c r="G188" s="1">
        <v>4041.27234878917</v>
      </c>
      <c r="H188" s="1">
        <v>9.98057866096496</v>
      </c>
      <c r="I188" s="1">
        <v>4884.17245038779</v>
      </c>
      <c r="J188" s="1">
        <v>4884.17245038779</v>
      </c>
      <c r="K188" s="1">
        <v>3203.36050200462</v>
      </c>
      <c r="L188" s="1">
        <v>118787.0</v>
      </c>
      <c r="M188" s="1">
        <f t="shared" si="65"/>
        <v>0</v>
      </c>
      <c r="O188" s="1">
        <v>4043.62401704253</v>
      </c>
      <c r="P188" s="1">
        <v>80.4778978824615</v>
      </c>
      <c r="R188" s="1">
        <v>3951.02973286992</v>
      </c>
      <c r="S188" s="1">
        <v>20.2316801548004</v>
      </c>
    </row>
    <row r="189">
      <c r="C189" s="1">
        <v>90.0</v>
      </c>
      <c r="D189" s="1">
        <v>15.0</v>
      </c>
      <c r="E189" s="1">
        <v>9.0</v>
      </c>
      <c r="G189" s="1">
        <v>3364.27351271393</v>
      </c>
      <c r="H189" s="1">
        <v>9.99240088462829</v>
      </c>
      <c r="I189" s="1">
        <v>4508.79190683605</v>
      </c>
      <c r="J189" s="1">
        <v>4366.27068189656</v>
      </c>
      <c r="K189" s="1">
        <v>3600.06662464141</v>
      </c>
      <c r="L189" s="1">
        <v>107229.0</v>
      </c>
      <c r="M189" s="1">
        <f t="shared" si="65"/>
        <v>3.1</v>
      </c>
      <c r="O189" s="1">
        <v>3366.71793995855</v>
      </c>
      <c r="P189" s="1">
        <v>45.6752154827117</v>
      </c>
      <c r="R189" s="1">
        <v>3326.30248914878</v>
      </c>
      <c r="S189" s="1">
        <v>24.7059648036956</v>
      </c>
    </row>
    <row r="190">
      <c r="C190" s="1"/>
      <c r="D190" s="1"/>
      <c r="E190" s="1"/>
      <c r="G190" s="8">
        <f t="shared" ref="G190:M190" si="66">AVERAGE(G180:G189)</f>
        <v>3611.217583</v>
      </c>
      <c r="H190" s="8">
        <f t="shared" si="66"/>
        <v>9.998810887</v>
      </c>
      <c r="I190" s="8">
        <f t="shared" si="66"/>
        <v>4751.188732</v>
      </c>
      <c r="J190" s="8">
        <f t="shared" si="66"/>
        <v>4625.116728</v>
      </c>
      <c r="K190" s="8">
        <f t="shared" si="66"/>
        <v>3560.374828</v>
      </c>
      <c r="L190" s="8">
        <f t="shared" si="66"/>
        <v>109960.8</v>
      </c>
      <c r="M190" s="8">
        <f t="shared" si="66"/>
        <v>2.67</v>
      </c>
      <c r="O190" s="8">
        <f t="shared" ref="O190:P190" si="67">AVERAGE(O180:O189)</f>
        <v>3613.802059</v>
      </c>
      <c r="P190" s="8">
        <f t="shared" si="67"/>
        <v>63.54075563</v>
      </c>
      <c r="R190" s="8">
        <f t="shared" ref="R190:S190" si="68">AVERAGE(R180:R189)</f>
        <v>3564.614101</v>
      </c>
      <c r="S190" s="8">
        <f t="shared" si="68"/>
        <v>27.04045787</v>
      </c>
    </row>
    <row r="191">
      <c r="C191" s="1">
        <v>90.0</v>
      </c>
      <c r="D191" s="1">
        <v>20.0</v>
      </c>
      <c r="E191" s="1">
        <v>0.0</v>
      </c>
      <c r="G191" s="1">
        <v>6806.70547648729</v>
      </c>
      <c r="H191" s="1">
        <v>10.0972528457641</v>
      </c>
      <c r="I191" s="1">
        <v>7570.44198859128</v>
      </c>
      <c r="J191" s="1">
        <v>7570.44198859128</v>
      </c>
      <c r="K191" s="1">
        <v>96.8025345802307</v>
      </c>
      <c r="L191" s="1">
        <v>5985.0</v>
      </c>
      <c r="M191" s="1">
        <f t="shared" ref="M191:M200" si="69">TRUNC(100*(I191-J191)/I191,1)</f>
        <v>0</v>
      </c>
      <c r="O191" s="1">
        <v>6810.54067440527</v>
      </c>
      <c r="P191" s="1">
        <v>71.2602660655975</v>
      </c>
      <c r="R191" s="1">
        <v>6728.30986439959</v>
      </c>
      <c r="S191" s="1">
        <v>34.5487990379333</v>
      </c>
    </row>
    <row r="192">
      <c r="C192" s="1">
        <v>90.0</v>
      </c>
      <c r="D192" s="1">
        <v>20.0</v>
      </c>
      <c r="E192" s="1">
        <v>1.0</v>
      </c>
      <c r="G192" s="1">
        <v>6826.19000706651</v>
      </c>
      <c r="H192" s="1">
        <v>10.114542722702</v>
      </c>
      <c r="I192" s="1">
        <v>7722.78264663119</v>
      </c>
      <c r="J192" s="1">
        <v>7722.78264663119</v>
      </c>
      <c r="K192" s="1">
        <v>116.95909667015</v>
      </c>
      <c r="L192" s="1">
        <v>7265.0</v>
      </c>
      <c r="M192" s="1">
        <f t="shared" si="69"/>
        <v>0</v>
      </c>
      <c r="O192" s="1">
        <v>6830.89972802026</v>
      </c>
      <c r="P192" s="1">
        <v>77.3607852458953</v>
      </c>
      <c r="R192" s="1">
        <v>6767.99562205044</v>
      </c>
      <c r="S192" s="1">
        <v>41.7880337238311</v>
      </c>
    </row>
    <row r="193">
      <c r="C193" s="1">
        <v>90.0</v>
      </c>
      <c r="D193" s="1">
        <v>20.0</v>
      </c>
      <c r="E193" s="1">
        <v>2.0</v>
      </c>
      <c r="G193" s="1">
        <v>6109.59654465038</v>
      </c>
      <c r="H193" s="1">
        <v>10.1489026546478</v>
      </c>
      <c r="I193" s="1">
        <v>7135.6406663402</v>
      </c>
      <c r="J193" s="1">
        <v>7135.6406663402</v>
      </c>
      <c r="K193" s="1">
        <v>1125.29442977905</v>
      </c>
      <c r="L193" s="1">
        <v>56191.0</v>
      </c>
      <c r="M193" s="1">
        <f t="shared" si="69"/>
        <v>0</v>
      </c>
      <c r="O193" s="1">
        <v>6113.11408210335</v>
      </c>
      <c r="P193" s="1">
        <v>66.5304617881774</v>
      </c>
      <c r="R193" s="1">
        <v>6034.11533533307</v>
      </c>
      <c r="S193" s="1">
        <v>33.5794286727905</v>
      </c>
    </row>
    <row r="194">
      <c r="C194" s="1">
        <v>90.0</v>
      </c>
      <c r="D194" s="1">
        <v>20.0</v>
      </c>
      <c r="E194" s="1">
        <v>3.0</v>
      </c>
      <c r="G194" s="1">
        <v>5663.15655755538</v>
      </c>
      <c r="H194" s="1">
        <v>10.1894631385803</v>
      </c>
      <c r="I194" s="1">
        <v>6885.67598818329</v>
      </c>
      <c r="J194" s="1">
        <v>6812.91668415624</v>
      </c>
      <c r="K194" s="1">
        <v>3600.02419829368</v>
      </c>
      <c r="L194" s="1">
        <v>113925.0</v>
      </c>
      <c r="M194" s="1">
        <f t="shared" si="69"/>
        <v>1</v>
      </c>
      <c r="O194" s="1">
        <v>5665.82126467511</v>
      </c>
      <c r="P194" s="1">
        <v>90.4637451171875</v>
      </c>
      <c r="R194" s="1">
        <v>5581.82753102777</v>
      </c>
      <c r="S194" s="1">
        <v>25.6740148067474</v>
      </c>
    </row>
    <row r="195">
      <c r="C195" s="1">
        <v>90.0</v>
      </c>
      <c r="D195" s="1">
        <v>20.0</v>
      </c>
      <c r="E195" s="1">
        <v>4.0</v>
      </c>
      <c r="G195" s="1">
        <v>4922.82381935178</v>
      </c>
      <c r="H195" s="1">
        <v>10.1329007148742</v>
      </c>
      <c r="I195" s="1">
        <v>5723.73239227036</v>
      </c>
      <c r="J195" s="1">
        <v>5723.73239227036</v>
      </c>
      <c r="K195" s="1">
        <v>284.428209543228</v>
      </c>
      <c r="L195" s="1">
        <v>18167.0</v>
      </c>
      <c r="M195" s="1">
        <f t="shared" si="69"/>
        <v>0</v>
      </c>
      <c r="O195" s="1">
        <v>4926.87108775221</v>
      </c>
      <c r="P195" s="1">
        <v>69.7515802383422</v>
      </c>
      <c r="R195" s="1">
        <v>4846.69889092987</v>
      </c>
      <c r="S195" s="1">
        <v>34.4234445095062</v>
      </c>
    </row>
    <row r="196">
      <c r="C196" s="1">
        <v>90.0</v>
      </c>
      <c r="D196" s="1">
        <v>20.0</v>
      </c>
      <c r="E196" s="1">
        <v>5.0</v>
      </c>
      <c r="G196" s="1">
        <v>5408.12704496718</v>
      </c>
      <c r="H196" s="1">
        <v>10.1883001327514</v>
      </c>
      <c r="I196" s="1">
        <v>6463.79667043676</v>
      </c>
      <c r="J196" s="1">
        <v>6423.19112227829</v>
      </c>
      <c r="K196" s="1">
        <v>3600.00297403335</v>
      </c>
      <c r="L196" s="1">
        <v>110547.0</v>
      </c>
      <c r="M196" s="1">
        <f t="shared" si="69"/>
        <v>0.6</v>
      </c>
      <c r="O196" s="1">
        <v>5411.19947701694</v>
      </c>
      <c r="P196" s="1">
        <v>58.6605021953582</v>
      </c>
      <c r="R196" s="1">
        <v>5322.22365694126</v>
      </c>
      <c r="S196" s="1">
        <v>30.7722551822662</v>
      </c>
    </row>
    <row r="197">
      <c r="C197" s="1">
        <v>90.0</v>
      </c>
      <c r="D197" s="1">
        <v>20.0</v>
      </c>
      <c r="E197" s="1">
        <v>6.0</v>
      </c>
      <c r="G197" s="1">
        <v>5290.34230612663</v>
      </c>
      <c r="H197" s="1">
        <v>10.1946508884429</v>
      </c>
      <c r="I197" s="1">
        <v>6543.13942098221</v>
      </c>
      <c r="J197" s="1">
        <v>6391.50195355601</v>
      </c>
      <c r="K197" s="1">
        <v>3600.09855866432</v>
      </c>
      <c r="L197" s="1">
        <v>109563.0</v>
      </c>
      <c r="M197" s="1">
        <f t="shared" si="69"/>
        <v>2.3</v>
      </c>
      <c r="O197" s="1">
        <v>5293.56068033577</v>
      </c>
      <c r="P197" s="1">
        <v>70.9739651679992</v>
      </c>
      <c r="R197" s="1">
        <v>5210.35147912373</v>
      </c>
      <c r="S197" s="1">
        <v>28.2369813919067</v>
      </c>
    </row>
    <row r="198">
      <c r="C198" s="1">
        <v>90.0</v>
      </c>
      <c r="D198" s="1">
        <v>20.0</v>
      </c>
      <c r="E198" s="1">
        <v>7.0</v>
      </c>
      <c r="G198" s="1">
        <v>5911.10098347627</v>
      </c>
      <c r="H198" s="1">
        <v>10.1225371360778</v>
      </c>
      <c r="I198" s="1">
        <v>7125.42363849885</v>
      </c>
      <c r="J198" s="1">
        <v>7125.42363849885</v>
      </c>
      <c r="K198" s="1">
        <v>1604.2293331623</v>
      </c>
      <c r="L198" s="1">
        <v>76571.0</v>
      </c>
      <c r="M198" s="1">
        <f t="shared" si="69"/>
        <v>0</v>
      </c>
      <c r="O198" s="1">
        <v>5914.13501990595</v>
      </c>
      <c r="P198" s="1">
        <v>62.2805407047271</v>
      </c>
      <c r="R198" s="1">
        <v>5822.37345015376</v>
      </c>
      <c r="S198" s="1">
        <v>31.5579245090484</v>
      </c>
    </row>
    <row r="199">
      <c r="C199" s="1">
        <v>90.0</v>
      </c>
      <c r="D199" s="1">
        <v>20.0</v>
      </c>
      <c r="E199" s="1">
        <v>8.0</v>
      </c>
      <c r="G199" s="1">
        <v>6161.89696302839</v>
      </c>
      <c r="H199" s="1">
        <v>10.2258398532867</v>
      </c>
      <c r="I199" s="1">
        <v>6758.85613364204</v>
      </c>
      <c r="J199" s="1">
        <v>6758.85613364204</v>
      </c>
      <c r="K199" s="1">
        <v>47.2378904819488</v>
      </c>
      <c r="L199" s="1">
        <v>2691.0</v>
      </c>
      <c r="M199" s="1">
        <f t="shared" si="69"/>
        <v>0</v>
      </c>
      <c r="O199" s="1">
        <v>6165.09369121453</v>
      </c>
      <c r="P199" s="1">
        <v>75.0007021427154</v>
      </c>
      <c r="R199" s="1">
        <v>6077.42940983823</v>
      </c>
      <c r="S199" s="1">
        <v>29.3072702884674</v>
      </c>
    </row>
    <row r="200">
      <c r="C200" s="1">
        <v>90.0</v>
      </c>
      <c r="D200" s="1">
        <v>20.0</v>
      </c>
      <c r="E200" s="1">
        <v>9.0</v>
      </c>
      <c r="G200" s="1">
        <v>5481.84491962082</v>
      </c>
      <c r="H200" s="1">
        <v>10.1616871356964</v>
      </c>
      <c r="I200" s="1">
        <v>6589.84086298519</v>
      </c>
      <c r="J200" s="1">
        <v>6589.84086298519</v>
      </c>
      <c r="K200" s="1">
        <v>1155.08650779724</v>
      </c>
      <c r="L200" s="1">
        <v>61615.0</v>
      </c>
      <c r="M200" s="1">
        <f t="shared" si="69"/>
        <v>0</v>
      </c>
      <c r="O200" s="1">
        <v>5485.31819012606</v>
      </c>
      <c r="P200" s="1">
        <v>64.370801448822</v>
      </c>
      <c r="R200" s="1">
        <v>5416.28449158406</v>
      </c>
      <c r="S200" s="1">
        <v>27.2264862060546</v>
      </c>
    </row>
    <row r="201">
      <c r="C201" s="1"/>
      <c r="D201" s="1"/>
      <c r="E201" s="1"/>
      <c r="G201" s="8">
        <f t="shared" ref="G201:M201" si="70">AVERAGE(G191:G200)</f>
        <v>5858.178462</v>
      </c>
      <c r="H201" s="8">
        <f t="shared" si="70"/>
        <v>10.15760772</v>
      </c>
      <c r="I201" s="8">
        <f t="shared" si="70"/>
        <v>6851.933041</v>
      </c>
      <c r="J201" s="8">
        <f t="shared" si="70"/>
        <v>6825.432809</v>
      </c>
      <c r="K201" s="8">
        <f t="shared" si="70"/>
        <v>1523.016373</v>
      </c>
      <c r="L201" s="8">
        <f t="shared" si="70"/>
        <v>56252</v>
      </c>
      <c r="M201" s="8">
        <f t="shared" si="70"/>
        <v>0.39</v>
      </c>
      <c r="O201" s="8">
        <f t="shared" ref="O201:P201" si="71">AVERAGE(O191:O200)</f>
        <v>5861.65539</v>
      </c>
      <c r="P201" s="8">
        <f t="shared" si="71"/>
        <v>70.66533501</v>
      </c>
      <c r="R201" s="8">
        <f t="shared" ref="R201:S201" si="72">AVERAGE(R191:R200)</f>
        <v>5780.760973</v>
      </c>
      <c r="S201" s="8">
        <f t="shared" si="72"/>
        <v>31.71146383</v>
      </c>
    </row>
    <row r="202">
      <c r="C202" s="1">
        <v>90.0</v>
      </c>
      <c r="D202" s="1">
        <v>25.0</v>
      </c>
      <c r="E202" s="1">
        <v>0.0</v>
      </c>
      <c r="G202" s="1">
        <v>10431.878812173</v>
      </c>
      <c r="H202" s="1">
        <v>10.2585725784301</v>
      </c>
      <c r="I202" s="1">
        <v>10947.4752622547</v>
      </c>
      <c r="J202" s="1">
        <v>10947.4752622547</v>
      </c>
      <c r="K202" s="1">
        <v>15.6344709396362</v>
      </c>
      <c r="L202" s="1">
        <v>373.0</v>
      </c>
      <c r="M202" s="1">
        <f t="shared" ref="M202:M211" si="73">TRUNC(100*(I202-J202)/I202,1)</f>
        <v>0</v>
      </c>
      <c r="O202" s="1">
        <v>10436.7825874071</v>
      </c>
      <c r="P202" s="1">
        <v>76.2977581024169</v>
      </c>
      <c r="R202" s="1">
        <v>10298.0816037223</v>
      </c>
      <c r="S202" s="1">
        <v>42.78533411026</v>
      </c>
    </row>
    <row r="203">
      <c r="C203" s="1">
        <v>90.0</v>
      </c>
      <c r="D203" s="1">
        <v>25.0</v>
      </c>
      <c r="E203" s="1">
        <v>1.0</v>
      </c>
      <c r="G203" s="1">
        <v>10596.3642418772</v>
      </c>
      <c r="H203" s="1">
        <v>10.3335156440734</v>
      </c>
      <c r="I203" s="1">
        <v>11305.3292185648</v>
      </c>
      <c r="J203" s="1">
        <v>11305.3292185648</v>
      </c>
      <c r="K203" s="1">
        <v>28.4771745204925</v>
      </c>
      <c r="L203" s="1">
        <v>1285.0</v>
      </c>
      <c r="M203" s="1">
        <f t="shared" si="73"/>
        <v>0</v>
      </c>
      <c r="O203" s="1">
        <v>10603.0302191115</v>
      </c>
      <c r="P203" s="1">
        <v>89.9549307823181</v>
      </c>
      <c r="R203" s="1">
        <v>10476.8384662038</v>
      </c>
      <c r="S203" s="1">
        <v>40.4528276920318</v>
      </c>
    </row>
    <row r="204">
      <c r="C204" s="1">
        <v>90.0</v>
      </c>
      <c r="D204" s="1">
        <v>25.0</v>
      </c>
      <c r="E204" s="1">
        <v>2.0</v>
      </c>
      <c r="G204" s="1">
        <v>9606.73256551342</v>
      </c>
      <c r="H204" s="1">
        <v>10.3261892795562</v>
      </c>
      <c r="I204" s="1">
        <v>10480.8898581107</v>
      </c>
      <c r="J204" s="1">
        <v>10480.8898581107</v>
      </c>
      <c r="K204" s="1">
        <v>127.809311151504</v>
      </c>
      <c r="L204" s="1">
        <v>7713.0</v>
      </c>
      <c r="M204" s="1">
        <f t="shared" si="73"/>
        <v>0</v>
      </c>
      <c r="O204" s="1">
        <v>9611.28490199998</v>
      </c>
      <c r="P204" s="1">
        <v>77.1048920154571</v>
      </c>
      <c r="R204" s="1">
        <v>9473.40681755949</v>
      </c>
      <c r="S204" s="1">
        <v>41.5514709949493</v>
      </c>
    </row>
    <row r="205">
      <c r="C205" s="1">
        <v>90.0</v>
      </c>
      <c r="D205" s="1">
        <v>25.0</v>
      </c>
      <c r="E205" s="1">
        <v>3.0</v>
      </c>
      <c r="G205" s="1">
        <v>8901.04415673342</v>
      </c>
      <c r="H205" s="1">
        <v>10.3533065319061</v>
      </c>
      <c r="I205" s="1">
        <v>9866.38008515881</v>
      </c>
      <c r="J205" s="1">
        <v>9866.38008515881</v>
      </c>
      <c r="K205" s="1">
        <v>376.91886305809</v>
      </c>
      <c r="L205" s="1">
        <v>26397.0</v>
      </c>
      <c r="M205" s="1">
        <f t="shared" si="73"/>
        <v>0</v>
      </c>
      <c r="O205" s="1">
        <v>8905.70697289353</v>
      </c>
      <c r="P205" s="1">
        <v>75.2336554527282</v>
      </c>
      <c r="R205" s="1">
        <v>8802.70237854548</v>
      </c>
      <c r="S205" s="1">
        <v>44.2941501140594</v>
      </c>
    </row>
    <row r="206">
      <c r="C206" s="1">
        <v>90.0</v>
      </c>
      <c r="D206" s="1">
        <v>25.0</v>
      </c>
      <c r="E206" s="1">
        <v>4.0</v>
      </c>
      <c r="G206" s="1">
        <v>7898.51795676034</v>
      </c>
      <c r="H206" s="1">
        <v>10.3458092212677</v>
      </c>
      <c r="I206" s="1">
        <v>8453.14347898119</v>
      </c>
      <c r="J206" s="1">
        <v>8453.14347898119</v>
      </c>
      <c r="K206" s="1">
        <v>24.9251956939697</v>
      </c>
      <c r="L206" s="1">
        <v>1065.0</v>
      </c>
      <c r="M206" s="1">
        <f t="shared" si="73"/>
        <v>0</v>
      </c>
      <c r="O206" s="1">
        <v>7902.76026788949</v>
      </c>
      <c r="P206" s="1">
        <v>78.9184143543243</v>
      </c>
      <c r="R206" s="1">
        <v>7758.40019377665</v>
      </c>
      <c r="S206" s="1">
        <v>37.0499217510223</v>
      </c>
    </row>
    <row r="207">
      <c r="C207" s="1">
        <v>90.0</v>
      </c>
      <c r="D207" s="1">
        <v>25.0</v>
      </c>
      <c r="E207" s="1">
        <v>5.0</v>
      </c>
      <c r="G207" s="1">
        <v>8526.44667826145</v>
      </c>
      <c r="H207" s="1">
        <v>10.2861890792846</v>
      </c>
      <c r="I207" s="1">
        <v>9421.17278769675</v>
      </c>
      <c r="J207" s="1">
        <v>9421.17278769675</v>
      </c>
      <c r="K207" s="1">
        <v>751.992899894714</v>
      </c>
      <c r="L207" s="1">
        <v>43231.0</v>
      </c>
      <c r="M207" s="1">
        <f t="shared" si="73"/>
        <v>0</v>
      </c>
      <c r="O207" s="1">
        <v>8530.60285761755</v>
      </c>
      <c r="P207" s="1">
        <v>93.983742237091</v>
      </c>
      <c r="R207" s="1">
        <v>8350.41986029126</v>
      </c>
      <c r="S207" s="1">
        <v>31.6128320693969</v>
      </c>
    </row>
    <row r="208">
      <c r="C208" s="1">
        <v>90.0</v>
      </c>
      <c r="D208" s="1">
        <v>25.0</v>
      </c>
      <c r="E208" s="1">
        <v>6.0</v>
      </c>
      <c r="G208" s="1">
        <v>8387.18336154536</v>
      </c>
      <c r="H208" s="1">
        <v>10.2926836013793</v>
      </c>
      <c r="I208" s="1">
        <v>9301.84242121004</v>
      </c>
      <c r="J208" s="1">
        <v>9301.84242121004</v>
      </c>
      <c r="K208" s="1">
        <v>672.329422712326</v>
      </c>
      <c r="L208" s="1">
        <v>42621.0</v>
      </c>
      <c r="M208" s="1">
        <f t="shared" si="73"/>
        <v>0</v>
      </c>
      <c r="O208" s="1">
        <v>8391.81429705926</v>
      </c>
      <c r="P208" s="1">
        <v>80.5784306526184</v>
      </c>
      <c r="R208" s="1">
        <v>8266.12691589797</v>
      </c>
      <c r="S208" s="1">
        <v>35.1154451370239</v>
      </c>
    </row>
    <row r="209">
      <c r="C209" s="1">
        <v>90.0</v>
      </c>
      <c r="D209" s="1">
        <v>25.0</v>
      </c>
      <c r="E209" s="1">
        <v>7.0</v>
      </c>
      <c r="G209" s="1">
        <v>9242.89053586888</v>
      </c>
      <c r="H209" s="1">
        <v>10.3221299648284</v>
      </c>
      <c r="I209" s="1">
        <v>10311.0839385874</v>
      </c>
      <c r="J209" s="1">
        <v>10311.0839385874</v>
      </c>
      <c r="K209" s="1">
        <v>201.883926153182</v>
      </c>
      <c r="L209" s="1">
        <v>14175.0</v>
      </c>
      <c r="M209" s="1">
        <f t="shared" si="73"/>
        <v>0</v>
      </c>
      <c r="O209" s="1">
        <v>9246.71641685369</v>
      </c>
      <c r="P209" s="1">
        <v>69.6666221618652</v>
      </c>
      <c r="R209" s="1">
        <v>9156.98497191633</v>
      </c>
      <c r="S209" s="1">
        <v>43.8980545997619</v>
      </c>
    </row>
    <row r="210">
      <c r="C210" s="1">
        <v>90.0</v>
      </c>
      <c r="D210" s="1">
        <v>25.0</v>
      </c>
      <c r="E210" s="1">
        <v>8.0</v>
      </c>
      <c r="G210" s="1">
        <v>9236.47277774105</v>
      </c>
      <c r="H210" s="1">
        <v>10.3083684444427</v>
      </c>
      <c r="I210" s="1">
        <v>9672.74803531359</v>
      </c>
      <c r="J210" s="1">
        <v>9672.74803531359</v>
      </c>
      <c r="K210" s="1">
        <v>18.451043844223</v>
      </c>
      <c r="L210" s="1">
        <v>633.0</v>
      </c>
      <c r="M210" s="1">
        <f t="shared" si="73"/>
        <v>0</v>
      </c>
      <c r="O210" s="1">
        <v>9239.01168471797</v>
      </c>
      <c r="P210" s="1">
        <v>64.4104914665222</v>
      </c>
      <c r="R210" s="1">
        <v>9139.173598958</v>
      </c>
      <c r="S210" s="1">
        <v>36.2874252796173</v>
      </c>
    </row>
    <row r="211">
      <c r="C211" s="1">
        <v>90.0</v>
      </c>
      <c r="D211" s="1">
        <v>25.0</v>
      </c>
      <c r="E211" s="1">
        <v>9.0</v>
      </c>
      <c r="G211" s="1">
        <v>8635.16694112864</v>
      </c>
      <c r="H211" s="1">
        <v>10.4459528923034</v>
      </c>
      <c r="I211" s="1">
        <v>9594.45406710128</v>
      </c>
      <c r="J211" s="1">
        <v>9594.45406710128</v>
      </c>
      <c r="K211" s="1">
        <v>52.9094302654266</v>
      </c>
      <c r="L211" s="1">
        <v>3137.0</v>
      </c>
      <c r="M211" s="1">
        <f t="shared" si="73"/>
        <v>0</v>
      </c>
      <c r="O211" s="1">
        <v>8638.23624991679</v>
      </c>
      <c r="P211" s="1">
        <v>55.945485830307</v>
      </c>
      <c r="R211" s="1">
        <v>8530.3505452558</v>
      </c>
      <c r="S211" s="1">
        <v>33.0587141513824</v>
      </c>
    </row>
    <row r="212">
      <c r="C212" s="1"/>
      <c r="D212" s="1"/>
      <c r="E212" s="1"/>
      <c r="G212" s="8">
        <f t="shared" ref="G212:M212" si="74">AVERAGE(G202:G211)</f>
        <v>9146.269803</v>
      </c>
      <c r="H212" s="8">
        <f t="shared" si="74"/>
        <v>10.32727172</v>
      </c>
      <c r="I212" s="8">
        <f t="shared" si="74"/>
        <v>9935.451915</v>
      </c>
      <c r="J212" s="8">
        <f t="shared" si="74"/>
        <v>9935.451915</v>
      </c>
      <c r="K212" s="8">
        <f t="shared" si="74"/>
        <v>227.1331738</v>
      </c>
      <c r="L212" s="8">
        <f t="shared" si="74"/>
        <v>14063</v>
      </c>
      <c r="M212" s="8">
        <f t="shared" si="74"/>
        <v>0</v>
      </c>
      <c r="O212" s="8">
        <f t="shared" ref="O212:P212" si="75">AVERAGE(O202:O211)</f>
        <v>9150.594646</v>
      </c>
      <c r="P212" s="8">
        <f t="shared" si="75"/>
        <v>76.20944231</v>
      </c>
      <c r="R212" s="8">
        <f t="shared" ref="R212:S212" si="76">AVERAGE(R202:R211)</f>
        <v>9025.248535</v>
      </c>
      <c r="S212" s="8">
        <f t="shared" si="76"/>
        <v>38.61061759</v>
      </c>
    </row>
    <row r="213">
      <c r="C213" s="1">
        <v>90.0</v>
      </c>
      <c r="D213" s="1">
        <v>30.0</v>
      </c>
      <c r="E213" s="1">
        <v>0.0</v>
      </c>
      <c r="G213" s="1">
        <v>15415.746220278</v>
      </c>
      <c r="H213" s="1">
        <v>10.5572593212127</v>
      </c>
      <c r="I213" s="1">
        <v>15918.9804978326</v>
      </c>
      <c r="J213" s="1">
        <v>15918.9804978326</v>
      </c>
      <c r="K213" s="1">
        <v>20.7638661861419</v>
      </c>
      <c r="L213" s="1">
        <v>697.0</v>
      </c>
      <c r="M213" s="1">
        <f t="shared" ref="M213:M222" si="77">TRUNC(100*(I213-J213)/I213,1)</f>
        <v>0</v>
      </c>
      <c r="O213" s="1">
        <v>15421.9013698984</v>
      </c>
      <c r="P213" s="1">
        <v>93.2793183326721</v>
      </c>
      <c r="R213" s="1">
        <v>15087.2285888276</v>
      </c>
      <c r="S213" s="1">
        <v>46.6421959400177</v>
      </c>
    </row>
    <row r="214">
      <c r="C214" s="1">
        <v>90.0</v>
      </c>
      <c r="D214" s="1">
        <v>30.0</v>
      </c>
      <c r="E214" s="1">
        <v>1.0</v>
      </c>
      <c r="G214" s="1">
        <v>15671.8016239769</v>
      </c>
      <c r="H214" s="1">
        <v>10.5246148109436</v>
      </c>
      <c r="I214" s="1">
        <v>16295.4183796606</v>
      </c>
      <c r="J214" s="1">
        <v>16295.4183796606</v>
      </c>
      <c r="K214" s="1">
        <v>20.7758419513702</v>
      </c>
      <c r="L214" s="1">
        <v>695.0</v>
      </c>
      <c r="M214" s="1">
        <f t="shared" si="77"/>
        <v>0</v>
      </c>
      <c r="O214" s="1">
        <v>15679.5373099979</v>
      </c>
      <c r="P214" s="1">
        <v>97.2783253192901</v>
      </c>
      <c r="R214" s="1">
        <v>15431.9452060879</v>
      </c>
      <c r="S214" s="1">
        <v>50.0742564201355</v>
      </c>
    </row>
    <row r="215">
      <c r="C215" s="1">
        <v>90.0</v>
      </c>
      <c r="D215" s="1">
        <v>30.0</v>
      </c>
      <c r="E215" s="1">
        <v>2.0</v>
      </c>
      <c r="G215" s="1">
        <v>14351.8834329008</v>
      </c>
      <c r="H215" s="1">
        <v>10.4908752441406</v>
      </c>
      <c r="I215" s="1">
        <v>15045.0993664774</v>
      </c>
      <c r="J215" s="1">
        <v>15045.0993664774</v>
      </c>
      <c r="K215" s="1">
        <v>38.1194138526916</v>
      </c>
      <c r="L215" s="1">
        <v>1865.0</v>
      </c>
      <c r="M215" s="1">
        <f t="shared" si="77"/>
        <v>0</v>
      </c>
      <c r="O215" s="1">
        <v>14357.0750637246</v>
      </c>
      <c r="P215" s="1">
        <v>70.1737937927246</v>
      </c>
      <c r="R215" s="1">
        <v>14072.0074064981</v>
      </c>
      <c r="S215" s="1">
        <v>45.4116170406341</v>
      </c>
    </row>
    <row r="216">
      <c r="C216" s="1">
        <v>90.0</v>
      </c>
      <c r="D216" s="1">
        <v>30.0</v>
      </c>
      <c r="E216" s="1">
        <v>3.0</v>
      </c>
      <c r="G216" s="1">
        <v>13460.0795059666</v>
      </c>
      <c r="H216" s="1">
        <v>10.544846534729</v>
      </c>
      <c r="I216" s="1">
        <v>14091.2228087985</v>
      </c>
      <c r="J216" s="1">
        <v>14091.2228087985</v>
      </c>
      <c r="K216" s="1">
        <v>69.741931438446</v>
      </c>
      <c r="L216" s="1">
        <v>4751.0</v>
      </c>
      <c r="M216" s="1">
        <f t="shared" si="77"/>
        <v>0</v>
      </c>
      <c r="O216" s="1">
        <v>13467.0032960214</v>
      </c>
      <c r="P216" s="1">
        <v>90.3694784641265</v>
      </c>
      <c r="R216" s="1">
        <v>13295.7489460182</v>
      </c>
      <c r="S216" s="1">
        <v>44.0653638839721</v>
      </c>
    </row>
    <row r="217">
      <c r="C217" s="1">
        <v>90.0</v>
      </c>
      <c r="D217" s="1">
        <v>30.0</v>
      </c>
      <c r="E217" s="1">
        <v>4.0</v>
      </c>
      <c r="G217" s="1">
        <v>12064.2247037868</v>
      </c>
      <c r="H217" s="1">
        <v>10.5312979221344</v>
      </c>
      <c r="I217" s="1">
        <v>12579.8125382169</v>
      </c>
      <c r="J217" s="1">
        <v>12579.8125382169</v>
      </c>
      <c r="K217" s="1">
        <v>17.5368516445159</v>
      </c>
      <c r="L217" s="1">
        <v>503.0</v>
      </c>
      <c r="M217" s="1">
        <f t="shared" si="77"/>
        <v>0</v>
      </c>
      <c r="O217" s="1">
        <v>12067.7798514353</v>
      </c>
      <c r="P217" s="1">
        <v>42.3088746070861</v>
      </c>
      <c r="R217" s="1">
        <v>11839.9001166406</v>
      </c>
      <c r="S217" s="1">
        <v>42.8703806400299</v>
      </c>
    </row>
    <row r="218">
      <c r="C218" s="1">
        <v>90.0</v>
      </c>
      <c r="D218" s="1">
        <v>30.0</v>
      </c>
      <c r="E218" s="1">
        <v>5.0</v>
      </c>
      <c r="G218" s="1">
        <v>12727.1174911625</v>
      </c>
      <c r="H218" s="1">
        <v>10.529987335205</v>
      </c>
      <c r="I218" s="1">
        <v>13427.3670550759</v>
      </c>
      <c r="J218" s="1">
        <v>13427.3670550759</v>
      </c>
      <c r="K218" s="1">
        <v>134.26737165451</v>
      </c>
      <c r="L218" s="1">
        <v>9345.0</v>
      </c>
      <c r="M218" s="1">
        <f t="shared" si="77"/>
        <v>0</v>
      </c>
      <c r="O218" s="1">
        <v>12733.9364236713</v>
      </c>
      <c r="P218" s="1">
        <v>99.5422000885009</v>
      </c>
      <c r="R218" s="1">
        <v>12502.6730351269</v>
      </c>
      <c r="S218" s="1">
        <v>43.3964302539825</v>
      </c>
    </row>
    <row r="219">
      <c r="C219" s="1">
        <v>90.0</v>
      </c>
      <c r="D219" s="1">
        <v>30.0</v>
      </c>
      <c r="E219" s="1">
        <v>6.0</v>
      </c>
      <c r="G219" s="1">
        <v>12598.895637127</v>
      </c>
      <c r="H219" s="1">
        <v>10.5357646942138</v>
      </c>
      <c r="I219" s="1">
        <v>13130.8885381801</v>
      </c>
      <c r="J219" s="1">
        <v>13130.8885381801</v>
      </c>
      <c r="K219" s="1">
        <v>24.7012586593627</v>
      </c>
      <c r="L219" s="1">
        <v>1145.0</v>
      </c>
      <c r="M219" s="1">
        <f t="shared" si="77"/>
        <v>0</v>
      </c>
      <c r="O219" s="1">
        <v>12604.9613956354</v>
      </c>
      <c r="P219" s="1">
        <v>98.1756794452667</v>
      </c>
      <c r="R219" s="1">
        <v>12435.932228759</v>
      </c>
      <c r="S219" s="1">
        <v>38.8783540725708</v>
      </c>
    </row>
    <row r="220">
      <c r="C220" s="1">
        <v>90.0</v>
      </c>
      <c r="D220" s="1">
        <v>30.0</v>
      </c>
      <c r="E220" s="1">
        <v>7.0</v>
      </c>
      <c r="G220" s="1">
        <v>13840.3386664274</v>
      </c>
      <c r="H220" s="1">
        <v>10.5281071662902</v>
      </c>
      <c r="I220" s="1">
        <v>14717.6930868273</v>
      </c>
      <c r="J220" s="1">
        <v>14717.6930868273</v>
      </c>
      <c r="K220" s="1">
        <v>39.848399400711</v>
      </c>
      <c r="L220" s="1">
        <v>2305.0</v>
      </c>
      <c r="M220" s="1">
        <f t="shared" si="77"/>
        <v>0</v>
      </c>
      <c r="O220" s="1">
        <v>13844.1748545812</v>
      </c>
      <c r="P220" s="1">
        <v>59.749722957611</v>
      </c>
      <c r="R220" s="1">
        <v>13696.6846234585</v>
      </c>
      <c r="S220" s="1">
        <v>37.9920027256011</v>
      </c>
    </row>
    <row r="221">
      <c r="C221" s="1">
        <v>90.0</v>
      </c>
      <c r="D221" s="1">
        <v>30.0</v>
      </c>
      <c r="E221" s="1">
        <v>8.0</v>
      </c>
      <c r="G221" s="1">
        <v>13515.236472378</v>
      </c>
      <c r="H221" s="1">
        <v>10.5584206581115</v>
      </c>
      <c r="I221" s="1">
        <v>13718.461603222</v>
      </c>
      <c r="J221" s="1">
        <v>13718.461603222</v>
      </c>
      <c r="K221" s="1">
        <v>12.0983951091766</v>
      </c>
      <c r="L221" s="1">
        <v>129.0</v>
      </c>
      <c r="M221" s="1">
        <f t="shared" si="77"/>
        <v>0</v>
      </c>
      <c r="O221" s="1">
        <v>13518.6320894195</v>
      </c>
      <c r="P221" s="1">
        <v>57.4799575805664</v>
      </c>
      <c r="R221" s="1">
        <v>13414.3110781678</v>
      </c>
      <c r="S221" s="1">
        <v>36.4245159626007</v>
      </c>
    </row>
    <row r="222">
      <c r="C222" s="1">
        <v>90.0</v>
      </c>
      <c r="D222" s="1">
        <v>30.0</v>
      </c>
      <c r="E222" s="1">
        <v>9.0</v>
      </c>
      <c r="G222" s="1">
        <v>13170.9747502343</v>
      </c>
      <c r="H222" s="1">
        <v>10.5370619297027</v>
      </c>
      <c r="I222" s="1">
        <v>14063.666953233</v>
      </c>
      <c r="J222" s="1">
        <v>14063.666953233</v>
      </c>
      <c r="K222" s="1">
        <v>29.1532771587371</v>
      </c>
      <c r="L222" s="1">
        <v>1405.0</v>
      </c>
      <c r="M222" s="1">
        <f t="shared" si="77"/>
        <v>0</v>
      </c>
      <c r="O222" s="1">
        <v>13174.529797565</v>
      </c>
      <c r="P222" s="1">
        <v>84.4169828891754</v>
      </c>
      <c r="R222" s="1">
        <v>12964.5051575938</v>
      </c>
      <c r="S222" s="1">
        <v>40.8473572731018</v>
      </c>
    </row>
    <row r="223">
      <c r="C223" s="1"/>
      <c r="D223" s="1"/>
      <c r="E223" s="1"/>
      <c r="G223" s="8">
        <f t="shared" ref="G223:M223" si="78">AVERAGE(G213:G222)</f>
        <v>13681.62985</v>
      </c>
      <c r="H223" s="8">
        <f t="shared" si="78"/>
        <v>10.53382356</v>
      </c>
      <c r="I223" s="8">
        <f t="shared" si="78"/>
        <v>14298.86108</v>
      </c>
      <c r="J223" s="8">
        <f t="shared" si="78"/>
        <v>14298.86108</v>
      </c>
      <c r="K223" s="8">
        <f t="shared" si="78"/>
        <v>40.70066071</v>
      </c>
      <c r="L223" s="8">
        <f t="shared" si="78"/>
        <v>2284</v>
      </c>
      <c r="M223" s="8">
        <f t="shared" si="78"/>
        <v>0</v>
      </c>
      <c r="O223" s="8">
        <f t="shared" ref="O223:P223" si="79">AVERAGE(O213:O222)</f>
        <v>13686.95315</v>
      </c>
      <c r="P223" s="8">
        <f t="shared" si="79"/>
        <v>79.27743335</v>
      </c>
      <c r="R223" s="8">
        <f t="shared" ref="R223:S223" si="80">AVERAGE(R213:R222)</f>
        <v>13474.09364</v>
      </c>
      <c r="S223" s="8">
        <f t="shared" si="80"/>
        <v>42.66024742</v>
      </c>
    </row>
    <row r="224">
      <c r="C224" s="1">
        <v>100.0</v>
      </c>
      <c r="D224" s="1">
        <v>15.0</v>
      </c>
      <c r="E224" s="1">
        <v>0.0</v>
      </c>
      <c r="G224" s="1">
        <v>2782.65425762165</v>
      </c>
      <c r="H224" s="1">
        <v>11.6397650241851</v>
      </c>
      <c r="I224" s="1">
        <v>4157.22226356876</v>
      </c>
      <c r="J224" s="1">
        <v>3865.87750123567</v>
      </c>
      <c r="K224" s="1">
        <v>3600.02185368537</v>
      </c>
      <c r="L224" s="1">
        <v>95841.0</v>
      </c>
      <c r="M224" s="1">
        <f t="shared" ref="M224:M233" si="81">TRUNC(100*(I224-J224)/I224,1)</f>
        <v>7</v>
      </c>
      <c r="O224" s="1">
        <v>2785.37803903321</v>
      </c>
      <c r="P224" s="1">
        <v>90.7951846122741</v>
      </c>
      <c r="R224" s="1">
        <v>2757.23309046135</v>
      </c>
      <c r="S224" s="1">
        <v>38.1621544361114</v>
      </c>
    </row>
    <row r="225">
      <c r="C225" s="1">
        <v>100.0</v>
      </c>
      <c r="D225" s="1">
        <v>15.0</v>
      </c>
      <c r="E225" s="1">
        <v>1.0</v>
      </c>
      <c r="G225" s="1">
        <v>2819.93378209733</v>
      </c>
      <c r="H225" s="1">
        <v>11.6520428657531</v>
      </c>
      <c r="I225" s="1">
        <v>4043.4646736263</v>
      </c>
      <c r="J225" s="1">
        <v>3892.36848643188</v>
      </c>
      <c r="K225" s="1">
        <v>3600.06317138671</v>
      </c>
      <c r="L225" s="1">
        <v>96537.0</v>
      </c>
      <c r="M225" s="1">
        <f t="shared" si="81"/>
        <v>3.7</v>
      </c>
      <c r="O225" s="1">
        <v>2822.3931870727</v>
      </c>
      <c r="P225" s="1">
        <v>74.7134373188018</v>
      </c>
      <c r="R225" s="1">
        <v>2776.44693311985</v>
      </c>
      <c r="S225" s="1">
        <v>27.105304479599</v>
      </c>
    </row>
    <row r="226">
      <c r="C226" s="1">
        <v>100.0</v>
      </c>
      <c r="D226" s="1">
        <v>15.0</v>
      </c>
      <c r="E226" s="1">
        <v>2.0</v>
      </c>
      <c r="G226" s="1">
        <v>3426.39915250747</v>
      </c>
      <c r="H226" s="1">
        <v>11.6791770458221</v>
      </c>
      <c r="I226" s="1">
        <v>4717.88334579482</v>
      </c>
      <c r="J226" s="1">
        <v>4465.70073783474</v>
      </c>
      <c r="K226" s="1">
        <v>3600.06463575363</v>
      </c>
      <c r="L226" s="1">
        <v>95817.0</v>
      </c>
      <c r="M226" s="1">
        <f t="shared" si="81"/>
        <v>5.3</v>
      </c>
      <c r="O226" s="1">
        <v>3429.08336655282</v>
      </c>
      <c r="P226" s="1">
        <v>90.5558741092681</v>
      </c>
      <c r="R226" s="1">
        <v>3376.20367589759</v>
      </c>
      <c r="S226" s="1">
        <v>29.6525242328643</v>
      </c>
    </row>
    <row r="227">
      <c r="C227" s="1">
        <v>100.0</v>
      </c>
      <c r="D227" s="1">
        <v>15.0</v>
      </c>
      <c r="E227" s="1">
        <v>3.0</v>
      </c>
      <c r="G227" s="1">
        <v>4206.91888274983</v>
      </c>
      <c r="H227" s="1">
        <v>11.7111694812774</v>
      </c>
      <c r="I227" s="1">
        <v>5449.77198342074</v>
      </c>
      <c r="J227" s="1">
        <v>5252.47409056144</v>
      </c>
      <c r="K227" s="1">
        <v>3600.03727173805</v>
      </c>
      <c r="L227" s="1">
        <v>97215.0</v>
      </c>
      <c r="M227" s="1">
        <f t="shared" si="81"/>
        <v>3.6</v>
      </c>
      <c r="O227" s="1">
        <v>4210.07760700997</v>
      </c>
      <c r="P227" s="1">
        <v>70.9026236534118</v>
      </c>
      <c r="R227" s="1">
        <v>4135.32305424562</v>
      </c>
      <c r="S227" s="1">
        <v>38.3240203857421</v>
      </c>
    </row>
    <row r="228">
      <c r="C228" s="1">
        <v>100.0</v>
      </c>
      <c r="D228" s="1">
        <v>15.0</v>
      </c>
      <c r="E228" s="1">
        <v>4.0</v>
      </c>
      <c r="G228" s="1">
        <v>3574.16874781285</v>
      </c>
      <c r="H228" s="1">
        <v>11.6552014350891</v>
      </c>
      <c r="I228" s="1">
        <v>5221.55764020394</v>
      </c>
      <c r="J228" s="1">
        <v>4833.58021609615</v>
      </c>
      <c r="K228" s="1">
        <v>3600.09099197387</v>
      </c>
      <c r="L228" s="1">
        <v>96275.0</v>
      </c>
      <c r="M228" s="1">
        <f t="shared" si="81"/>
        <v>7.4</v>
      </c>
      <c r="O228" s="1">
        <v>3576.57263365127</v>
      </c>
      <c r="P228" s="1">
        <v>76.7257230281829</v>
      </c>
      <c r="R228" s="1">
        <v>3556.73573122317</v>
      </c>
      <c r="S228" s="1">
        <v>43.2744762897491</v>
      </c>
    </row>
    <row r="229">
      <c r="C229" s="1">
        <v>100.0</v>
      </c>
      <c r="D229" s="1">
        <v>15.0</v>
      </c>
      <c r="E229" s="1">
        <v>5.0</v>
      </c>
      <c r="G229" s="1">
        <v>3778.90142929264</v>
      </c>
      <c r="H229" s="1">
        <v>11.6901612281799</v>
      </c>
      <c r="I229" s="1">
        <v>5155.55037397969</v>
      </c>
      <c r="J229" s="1">
        <v>4874.88697697186</v>
      </c>
      <c r="K229" s="1">
        <v>3600.03051948547</v>
      </c>
      <c r="L229" s="1">
        <v>96097.0</v>
      </c>
      <c r="M229" s="1">
        <f t="shared" si="81"/>
        <v>5.4</v>
      </c>
      <c r="O229" s="1">
        <v>3781.53266020899</v>
      </c>
      <c r="P229" s="1">
        <v>62.818876504898</v>
      </c>
      <c r="R229" s="1">
        <v>3743.16554212155</v>
      </c>
      <c r="S229" s="1">
        <v>31.4488713741302</v>
      </c>
    </row>
    <row r="230">
      <c r="C230" s="1">
        <v>100.0</v>
      </c>
      <c r="D230" s="1">
        <v>15.0</v>
      </c>
      <c r="E230" s="1">
        <v>6.0</v>
      </c>
      <c r="G230" s="1">
        <v>4124.86428639306</v>
      </c>
      <c r="H230" s="1">
        <v>11.6448738574981</v>
      </c>
      <c r="I230" s="1">
        <v>5206.16823560131</v>
      </c>
      <c r="J230" s="1">
        <v>5102.6103246005</v>
      </c>
      <c r="K230" s="1">
        <v>3600.06885337829</v>
      </c>
      <c r="L230" s="1">
        <v>97085.0</v>
      </c>
      <c r="M230" s="1">
        <f t="shared" si="81"/>
        <v>1.9</v>
      </c>
      <c r="O230" s="1">
        <v>4127.80264568856</v>
      </c>
      <c r="P230" s="1">
        <v>72.3032603263855</v>
      </c>
      <c r="R230" s="1">
        <v>4098.87906529736</v>
      </c>
      <c r="S230" s="1">
        <v>40.229968547821</v>
      </c>
    </row>
    <row r="231">
      <c r="C231" s="1">
        <v>100.0</v>
      </c>
      <c r="D231" s="1">
        <v>15.0</v>
      </c>
      <c r="E231" s="1">
        <v>7.0</v>
      </c>
      <c r="G231" s="1">
        <v>4083.59978248164</v>
      </c>
      <c r="H231" s="1">
        <v>11.6111650466918</v>
      </c>
      <c r="I231" s="1">
        <v>5316.86466061915</v>
      </c>
      <c r="J231" s="1">
        <v>5062.18413109717</v>
      </c>
      <c r="K231" s="1">
        <v>3600.0026397705</v>
      </c>
      <c r="L231" s="1">
        <v>96433.0</v>
      </c>
      <c r="M231" s="1">
        <f t="shared" si="81"/>
        <v>4.7</v>
      </c>
      <c r="O231" s="1">
        <v>4086.54886857988</v>
      </c>
      <c r="P231" s="1">
        <v>104.87585902214</v>
      </c>
      <c r="R231" s="1">
        <v>4047.10599617529</v>
      </c>
      <c r="S231" s="1">
        <v>36.9641807079315</v>
      </c>
    </row>
    <row r="232">
      <c r="C232" s="1">
        <v>100.0</v>
      </c>
      <c r="D232" s="1">
        <v>15.0</v>
      </c>
      <c r="E232" s="1">
        <v>8.0</v>
      </c>
      <c r="G232" s="1">
        <v>3203.69975303682</v>
      </c>
      <c r="H232" s="1">
        <v>11.6758162975311</v>
      </c>
      <c r="I232" s="1">
        <v>4589.47327457001</v>
      </c>
      <c r="J232" s="1">
        <v>4302.06982581931</v>
      </c>
      <c r="K232" s="1">
        <v>3600.08770656585</v>
      </c>
      <c r="L232" s="1">
        <v>96385.0</v>
      </c>
      <c r="M232" s="1">
        <f t="shared" si="81"/>
        <v>6.2</v>
      </c>
      <c r="O232" s="1">
        <v>3206.61302709753</v>
      </c>
      <c r="P232" s="1">
        <v>101.766832113265</v>
      </c>
      <c r="R232" s="1">
        <v>3163.60190982801</v>
      </c>
      <c r="S232" s="1">
        <v>38.5043456554412</v>
      </c>
    </row>
    <row r="233">
      <c r="C233" s="1">
        <v>100.0</v>
      </c>
      <c r="D233" s="1">
        <v>15.0</v>
      </c>
      <c r="E233" s="1">
        <v>9.0</v>
      </c>
      <c r="G233" s="1">
        <v>4277.52503392459</v>
      </c>
      <c r="H233" s="1">
        <v>11.6177546977996</v>
      </c>
      <c r="I233" s="1">
        <v>5753.29910429058</v>
      </c>
      <c r="J233" s="1">
        <v>5471.0653068369</v>
      </c>
      <c r="K233" s="1">
        <v>3600.08809828758</v>
      </c>
      <c r="L233" s="1">
        <v>96053.0</v>
      </c>
      <c r="M233" s="1">
        <f t="shared" si="81"/>
        <v>4.9</v>
      </c>
      <c r="O233" s="1">
        <v>4280.73541773462</v>
      </c>
      <c r="P233" s="1">
        <v>94.4169039726257</v>
      </c>
      <c r="R233" s="1">
        <v>4252.44578232955</v>
      </c>
      <c r="S233" s="1">
        <v>37.5081183910369</v>
      </c>
    </row>
    <row r="234">
      <c r="C234" s="1"/>
      <c r="D234" s="1"/>
      <c r="E234" s="1"/>
      <c r="G234" s="8">
        <f t="shared" ref="G234:M234" si="82">AVERAGE(G224:G233)</f>
        <v>3627.866511</v>
      </c>
      <c r="H234" s="8">
        <f t="shared" si="82"/>
        <v>11.6577127</v>
      </c>
      <c r="I234" s="8">
        <f t="shared" si="82"/>
        <v>4961.125556</v>
      </c>
      <c r="J234" s="8">
        <f t="shared" si="82"/>
        <v>4712.28176</v>
      </c>
      <c r="K234" s="8">
        <f t="shared" si="82"/>
        <v>3600.055574</v>
      </c>
      <c r="L234" s="8">
        <f t="shared" si="82"/>
        <v>96373.8</v>
      </c>
      <c r="M234" s="8">
        <f t="shared" si="82"/>
        <v>5.01</v>
      </c>
      <c r="O234" s="8">
        <f t="shared" ref="O234:P234" si="83">AVERAGE(O224:O233)</f>
        <v>3630.673745</v>
      </c>
      <c r="P234" s="8">
        <f t="shared" si="83"/>
        <v>83.98745747</v>
      </c>
      <c r="R234" s="8">
        <f t="shared" ref="R234:S234" si="84">AVERAGE(R224:R233)</f>
        <v>3590.714078</v>
      </c>
      <c r="S234" s="8">
        <f t="shared" si="84"/>
        <v>36.11739645</v>
      </c>
    </row>
    <row r="235">
      <c r="C235" s="1">
        <v>100.0</v>
      </c>
      <c r="D235" s="1">
        <v>20.0</v>
      </c>
      <c r="E235" s="1">
        <v>0.0</v>
      </c>
      <c r="G235" s="1">
        <v>4727.25513785108</v>
      </c>
      <c r="H235" s="1">
        <v>11.7790477275848</v>
      </c>
      <c r="I235" s="1">
        <v>6141.19519207075</v>
      </c>
      <c r="J235" s="1">
        <v>5907.49997472138</v>
      </c>
      <c r="K235" s="1">
        <v>3600.08396768569</v>
      </c>
      <c r="L235" s="1">
        <v>95749.0</v>
      </c>
      <c r="M235" s="1">
        <f t="shared" ref="M235:M244" si="85">TRUNC(100*(I235-J235)/I235,1)</f>
        <v>3.8</v>
      </c>
      <c r="O235" s="1">
        <v>4730.59416395683</v>
      </c>
      <c r="P235" s="1">
        <v>84.3753929138183</v>
      </c>
      <c r="R235" s="1">
        <v>4671.06287021316</v>
      </c>
      <c r="S235" s="1">
        <v>22.5436613559722</v>
      </c>
    </row>
    <row r="236">
      <c r="C236" s="1">
        <v>100.0</v>
      </c>
      <c r="D236" s="1">
        <v>20.0</v>
      </c>
      <c r="E236" s="1">
        <v>1.0</v>
      </c>
      <c r="G236" s="1">
        <v>4614.18744603084</v>
      </c>
      <c r="H236" s="1">
        <v>11.7647004127502</v>
      </c>
      <c r="I236" s="1">
        <v>5792.61955473553</v>
      </c>
      <c r="J236" s="1">
        <v>5792.61955473553</v>
      </c>
      <c r="K236" s="1">
        <v>2337.99842429161</v>
      </c>
      <c r="L236" s="1">
        <v>86281.0</v>
      </c>
      <c r="M236" s="1">
        <f t="shared" si="85"/>
        <v>0</v>
      </c>
      <c r="O236" s="1">
        <v>4617.21657106412</v>
      </c>
      <c r="P236" s="1">
        <v>91.5067932605743</v>
      </c>
      <c r="R236" s="1">
        <v>4585.43873465798</v>
      </c>
      <c r="S236" s="1">
        <v>52.402016878128</v>
      </c>
    </row>
    <row r="237">
      <c r="C237" s="1">
        <v>100.0</v>
      </c>
      <c r="D237" s="1">
        <v>20.0</v>
      </c>
      <c r="E237" s="1">
        <v>2.0</v>
      </c>
      <c r="G237" s="1">
        <v>5443.78127943814</v>
      </c>
      <c r="H237" s="1">
        <v>11.7856073379516</v>
      </c>
      <c r="I237" s="1">
        <v>6734.97219087503</v>
      </c>
      <c r="J237" s="1">
        <v>6689.26038486057</v>
      </c>
      <c r="K237" s="1">
        <v>3600.03483986854</v>
      </c>
      <c r="L237" s="1">
        <v>102227.0</v>
      </c>
      <c r="M237" s="1">
        <f t="shared" si="85"/>
        <v>0.6</v>
      </c>
      <c r="O237" s="1">
        <v>5446.66483397624</v>
      </c>
      <c r="P237" s="1">
        <v>69.0084056854248</v>
      </c>
      <c r="R237" s="1">
        <v>5388.07837619341</v>
      </c>
      <c r="S237" s="1">
        <v>37.0464208126068</v>
      </c>
    </row>
    <row r="238">
      <c r="C238" s="1">
        <v>100.0</v>
      </c>
      <c r="D238" s="1">
        <v>20.0</v>
      </c>
      <c r="E238" s="1">
        <v>3.0</v>
      </c>
      <c r="G238" s="1">
        <v>6461.12240725044</v>
      </c>
      <c r="H238" s="1">
        <v>11.7778282165527</v>
      </c>
      <c r="I238" s="1">
        <v>7605.35621804371</v>
      </c>
      <c r="J238" s="1">
        <v>7570.71093029947</v>
      </c>
      <c r="K238" s="1">
        <v>3600.0154030323</v>
      </c>
      <c r="L238" s="1">
        <v>106685.0</v>
      </c>
      <c r="M238" s="1">
        <f t="shared" si="85"/>
        <v>0.4</v>
      </c>
      <c r="O238" s="1">
        <v>6464.62425499738</v>
      </c>
      <c r="P238" s="1">
        <v>84.527114868164</v>
      </c>
      <c r="R238" s="1">
        <v>6393.8250183227</v>
      </c>
      <c r="S238" s="1">
        <v>37.1172339916229</v>
      </c>
    </row>
    <row r="239">
      <c r="C239" s="1">
        <v>100.0</v>
      </c>
      <c r="D239" s="1">
        <v>20.0</v>
      </c>
      <c r="E239" s="1">
        <v>4.0</v>
      </c>
      <c r="G239" s="1">
        <v>5936.15692409863</v>
      </c>
      <c r="H239" s="1">
        <v>11.7382001876831</v>
      </c>
      <c r="I239" s="1">
        <v>7587.60394451899</v>
      </c>
      <c r="J239" s="1">
        <v>7339.02639062809</v>
      </c>
      <c r="K239" s="1">
        <v>3600.02450561523</v>
      </c>
      <c r="L239" s="1">
        <v>95077.0</v>
      </c>
      <c r="M239" s="1">
        <f t="shared" si="85"/>
        <v>3.2</v>
      </c>
      <c r="O239" s="1">
        <v>5939.68697131905</v>
      </c>
      <c r="P239" s="1">
        <v>116.739253044128</v>
      </c>
      <c r="R239" s="1">
        <v>5889.65160733857</v>
      </c>
      <c r="S239" s="1">
        <v>68.8736338615417</v>
      </c>
    </row>
    <row r="240">
      <c r="C240" s="1">
        <v>100.0</v>
      </c>
      <c r="D240" s="1">
        <v>20.0</v>
      </c>
      <c r="E240" s="1">
        <v>5.0</v>
      </c>
      <c r="G240" s="1">
        <v>6000.39494504186</v>
      </c>
      <c r="H240" s="1">
        <v>11.7489380836486</v>
      </c>
      <c r="I240" s="1">
        <v>7328.99081031158</v>
      </c>
      <c r="J240" s="1">
        <v>7205.5236343658</v>
      </c>
      <c r="K240" s="1">
        <v>3600.09658050537</v>
      </c>
      <c r="L240" s="1">
        <v>96389.0</v>
      </c>
      <c r="M240" s="1">
        <f t="shared" si="85"/>
        <v>1.6</v>
      </c>
      <c r="O240" s="1">
        <v>6004.03359814934</v>
      </c>
      <c r="P240" s="1">
        <v>92.8652050495147</v>
      </c>
      <c r="R240" s="1">
        <v>5927.51710352771</v>
      </c>
      <c r="S240" s="1">
        <v>40.7982242107391</v>
      </c>
    </row>
    <row r="241">
      <c r="C241" s="1">
        <v>100.0</v>
      </c>
      <c r="D241" s="1">
        <v>20.0</v>
      </c>
      <c r="E241" s="1">
        <v>6.0</v>
      </c>
      <c r="G241" s="1">
        <v>6500.47376640002</v>
      </c>
      <c r="H241" s="1">
        <v>11.7114520072937</v>
      </c>
      <c r="I241" s="1">
        <v>7476.22142985662</v>
      </c>
      <c r="J241" s="1">
        <v>7476.22142985662</v>
      </c>
      <c r="K241" s="1">
        <v>925.523805856704</v>
      </c>
      <c r="L241" s="1">
        <v>41443.0</v>
      </c>
      <c r="M241" s="1">
        <f t="shared" si="85"/>
        <v>0</v>
      </c>
      <c r="O241" s="1">
        <v>6504.12071791241</v>
      </c>
      <c r="P241" s="1">
        <v>85.6636126041412</v>
      </c>
      <c r="R241" s="1">
        <v>6433.94103201264</v>
      </c>
      <c r="S241" s="1">
        <v>42.8061726093292</v>
      </c>
    </row>
    <row r="242">
      <c r="C242" s="1">
        <v>100.0</v>
      </c>
      <c r="D242" s="1">
        <v>20.0</v>
      </c>
      <c r="E242" s="1">
        <v>7.0</v>
      </c>
      <c r="G242" s="1">
        <v>6476.89638112627</v>
      </c>
      <c r="H242" s="1">
        <v>11.6736550331115</v>
      </c>
      <c r="I242" s="1">
        <v>7456.6500684782</v>
      </c>
      <c r="J242" s="1">
        <v>7456.6500684782</v>
      </c>
      <c r="K242" s="1">
        <v>1057.97264361381</v>
      </c>
      <c r="L242" s="1">
        <v>46595.0</v>
      </c>
      <c r="M242" s="1">
        <f t="shared" si="85"/>
        <v>0</v>
      </c>
      <c r="O242" s="1">
        <v>6480.92215540223</v>
      </c>
      <c r="P242" s="1">
        <v>102.972121238708</v>
      </c>
      <c r="R242" s="1">
        <v>6399.27270991236</v>
      </c>
      <c r="S242" s="1">
        <v>38.4393746852874</v>
      </c>
    </row>
    <row r="243">
      <c r="C243" s="1">
        <v>100.0</v>
      </c>
      <c r="D243" s="1">
        <v>20.0</v>
      </c>
      <c r="E243" s="1">
        <v>8.0</v>
      </c>
      <c r="G243" s="1">
        <v>5177.55031231588</v>
      </c>
      <c r="H243" s="1">
        <v>11.746529340744</v>
      </c>
      <c r="I243" s="1">
        <v>6680.18272369086</v>
      </c>
      <c r="J243" s="1">
        <v>6516.86524911832</v>
      </c>
      <c r="K243" s="1">
        <v>3600.70000457763</v>
      </c>
      <c r="L243" s="1">
        <v>97325.0</v>
      </c>
      <c r="M243" s="1">
        <f t="shared" si="85"/>
        <v>2.4</v>
      </c>
      <c r="O243" s="1">
        <v>5181.00550562989</v>
      </c>
      <c r="P243" s="1">
        <v>170.972935438156</v>
      </c>
      <c r="R243" s="1">
        <v>5137.54039774266</v>
      </c>
      <c r="S243" s="1">
        <v>37.4057114124298</v>
      </c>
    </row>
    <row r="244">
      <c r="C244" s="1">
        <v>100.0</v>
      </c>
      <c r="D244" s="1">
        <v>20.0</v>
      </c>
      <c r="E244" s="1">
        <v>9.0</v>
      </c>
      <c r="G244" s="1">
        <v>6832.82698498638</v>
      </c>
      <c r="H244" s="1">
        <v>11.7123634815216</v>
      </c>
      <c r="I244" s="1">
        <v>8280.05028596037</v>
      </c>
      <c r="J244" s="1">
        <v>8171.33325183825</v>
      </c>
      <c r="K244" s="1">
        <v>3600.01061344146</v>
      </c>
      <c r="L244" s="1">
        <v>97709.0</v>
      </c>
      <c r="M244" s="1">
        <f t="shared" si="85"/>
        <v>1.3</v>
      </c>
      <c r="O244" s="1">
        <v>6837.20553036159</v>
      </c>
      <c r="P244" s="1">
        <v>108.673713684082</v>
      </c>
      <c r="R244" s="1">
        <v>6760.71354874742</v>
      </c>
      <c r="S244" s="1">
        <v>42.7435600757598</v>
      </c>
    </row>
    <row r="245" ht="16.5" customHeight="1">
      <c r="C245" s="1"/>
      <c r="D245" s="1"/>
      <c r="E245" s="1"/>
      <c r="G245" s="8">
        <f t="shared" ref="G245:M245" si="86">AVERAGE(G235:G244)</f>
        <v>5817.064558</v>
      </c>
      <c r="H245" s="8">
        <f t="shared" si="86"/>
        <v>11.74383218</v>
      </c>
      <c r="I245" s="8">
        <f t="shared" si="86"/>
        <v>7108.384242</v>
      </c>
      <c r="J245" s="8">
        <f t="shared" si="86"/>
        <v>7012.571087</v>
      </c>
      <c r="K245" s="8">
        <f t="shared" si="86"/>
        <v>2952.246079</v>
      </c>
      <c r="L245" s="8">
        <f t="shared" si="86"/>
        <v>86548</v>
      </c>
      <c r="M245" s="8">
        <f t="shared" si="86"/>
        <v>1.33</v>
      </c>
      <c r="O245" s="8">
        <f t="shared" ref="O245:P245" si="87">AVERAGE(O235:O244)</f>
        <v>5820.60743</v>
      </c>
      <c r="P245" s="8">
        <f t="shared" si="87"/>
        <v>100.7304548</v>
      </c>
      <c r="R245" s="8">
        <f t="shared" ref="R245:S245" si="88">AVERAGE(R235:R244)</f>
        <v>5758.70414</v>
      </c>
      <c r="S245" s="8">
        <f t="shared" si="88"/>
        <v>42.01760099</v>
      </c>
    </row>
    <row r="246" ht="16.5" customHeight="1">
      <c r="C246" s="1">
        <v>100.0</v>
      </c>
      <c r="D246" s="1">
        <v>25.0</v>
      </c>
      <c r="E246" s="1">
        <v>0.0</v>
      </c>
      <c r="G246" s="1">
        <v>7701.1774190993</v>
      </c>
      <c r="H246" s="1">
        <v>11.903881072998</v>
      </c>
      <c r="I246" s="1">
        <v>9042.83624963807</v>
      </c>
      <c r="J246" s="1">
        <v>8876.18909490749</v>
      </c>
      <c r="K246" s="1">
        <v>3600.02041625976</v>
      </c>
      <c r="L246" s="1">
        <v>96501.0</v>
      </c>
      <c r="M246" s="1">
        <f t="shared" ref="M246:M255" si="89">TRUNC(100*(I246-J246)/I246,1)</f>
        <v>1.8</v>
      </c>
      <c r="O246" s="1">
        <v>7704.83649363199</v>
      </c>
      <c r="P246" s="1">
        <v>113.136059522628</v>
      </c>
      <c r="R246" s="1">
        <v>7562.86253613218</v>
      </c>
      <c r="S246" s="1">
        <v>47.9519679546356</v>
      </c>
    </row>
    <row r="247">
      <c r="C247" s="1">
        <v>100.0</v>
      </c>
      <c r="D247" s="1">
        <v>25.0</v>
      </c>
      <c r="E247" s="1">
        <v>1.0</v>
      </c>
      <c r="G247" s="1">
        <v>7473.12121006148</v>
      </c>
      <c r="H247" s="1">
        <v>11.9183182716369</v>
      </c>
      <c r="I247" s="1">
        <v>8475.42718444882</v>
      </c>
      <c r="J247" s="1">
        <v>8475.42718444882</v>
      </c>
      <c r="K247" s="1">
        <v>238.4455037117</v>
      </c>
      <c r="L247" s="1">
        <v>12433.0</v>
      </c>
      <c r="M247" s="1">
        <f t="shared" si="89"/>
        <v>0</v>
      </c>
      <c r="O247" s="1">
        <v>7476.75415969406</v>
      </c>
      <c r="P247" s="1">
        <v>80.0679116249084</v>
      </c>
      <c r="R247" s="1">
        <v>7365.18444733067</v>
      </c>
      <c r="S247" s="1">
        <v>43.1786313056945</v>
      </c>
    </row>
    <row r="248">
      <c r="C248" s="1">
        <v>100.0</v>
      </c>
      <c r="D248" s="1">
        <v>25.0</v>
      </c>
      <c r="E248" s="1">
        <v>2.0</v>
      </c>
      <c r="G248" s="1">
        <v>8504.06522787659</v>
      </c>
      <c r="H248" s="1">
        <v>11.9606940746307</v>
      </c>
      <c r="I248" s="1">
        <v>9566.67952407975</v>
      </c>
      <c r="J248" s="1">
        <v>9566.67952407975</v>
      </c>
      <c r="K248" s="1">
        <v>424.014208555221</v>
      </c>
      <c r="L248" s="1">
        <v>22093.0</v>
      </c>
      <c r="M248" s="1">
        <f t="shared" si="89"/>
        <v>0</v>
      </c>
      <c r="O248" s="1">
        <v>8507.66465735182</v>
      </c>
      <c r="P248" s="1">
        <v>110.449802875518</v>
      </c>
      <c r="R248" s="1">
        <v>8431.06638777786</v>
      </c>
      <c r="S248" s="1">
        <v>38.4672164916992</v>
      </c>
    </row>
    <row r="249">
      <c r="C249" s="1">
        <v>100.0</v>
      </c>
      <c r="D249" s="1">
        <v>25.0</v>
      </c>
      <c r="E249" s="1">
        <v>3.0</v>
      </c>
      <c r="G249" s="1">
        <v>9619.49898144608</v>
      </c>
      <c r="H249" s="1">
        <v>11.9002637863159</v>
      </c>
      <c r="I249" s="1">
        <v>10766.5111345358</v>
      </c>
      <c r="J249" s="1">
        <v>10766.5111345358</v>
      </c>
      <c r="K249" s="1">
        <v>750.592727661132</v>
      </c>
      <c r="L249" s="1">
        <v>38767.0</v>
      </c>
      <c r="M249" s="1">
        <f t="shared" si="89"/>
        <v>0</v>
      </c>
      <c r="O249" s="1">
        <v>9622.72028715228</v>
      </c>
      <c r="P249" s="1">
        <v>106.355041980743</v>
      </c>
      <c r="R249" s="1">
        <v>9568.41734608353</v>
      </c>
      <c r="S249" s="1">
        <v>39.2191803455352</v>
      </c>
    </row>
    <row r="250">
      <c r="C250" s="1">
        <v>100.0</v>
      </c>
      <c r="D250" s="1">
        <v>25.0</v>
      </c>
      <c r="E250" s="1">
        <v>4.0</v>
      </c>
      <c r="G250" s="1">
        <v>9511.86320024725</v>
      </c>
      <c r="H250" s="1">
        <v>11.9471786022186</v>
      </c>
      <c r="I250" s="1">
        <v>10931.4649485622</v>
      </c>
      <c r="J250" s="1">
        <v>10905.3260661571</v>
      </c>
      <c r="K250" s="1">
        <v>3600.0398364067</v>
      </c>
      <c r="L250" s="1">
        <v>106471.0</v>
      </c>
      <c r="M250" s="1">
        <f t="shared" si="89"/>
        <v>0.2</v>
      </c>
      <c r="O250" s="1">
        <v>9516.9220689125</v>
      </c>
      <c r="P250" s="1">
        <v>108.882042646408</v>
      </c>
      <c r="R250" s="1">
        <v>9355.13068596553</v>
      </c>
      <c r="S250" s="1">
        <v>56.9733400344848</v>
      </c>
    </row>
    <row r="251">
      <c r="C251" s="1">
        <v>100.0</v>
      </c>
      <c r="D251" s="1">
        <v>25.0</v>
      </c>
      <c r="E251" s="1">
        <v>5.0</v>
      </c>
      <c r="G251" s="1">
        <v>9220.63559772266</v>
      </c>
      <c r="H251" s="1">
        <v>11.9095594882965</v>
      </c>
      <c r="I251" s="1">
        <v>10479.9135310813</v>
      </c>
      <c r="J251" s="1">
        <v>10398.4966330368</v>
      </c>
      <c r="K251" s="1">
        <v>3600.01474189758</v>
      </c>
      <c r="L251" s="1">
        <v>98829.0</v>
      </c>
      <c r="M251" s="1">
        <f t="shared" si="89"/>
        <v>0.7</v>
      </c>
      <c r="O251" s="1">
        <v>9224.87785122838</v>
      </c>
      <c r="P251" s="1">
        <v>124.856977701187</v>
      </c>
      <c r="R251" s="1">
        <v>9085.62295974243</v>
      </c>
      <c r="S251" s="1">
        <v>53.8677041530609</v>
      </c>
    </row>
    <row r="252">
      <c r="C252" s="1">
        <v>100.0</v>
      </c>
      <c r="D252" s="1">
        <v>25.0</v>
      </c>
      <c r="E252" s="1">
        <v>6.0</v>
      </c>
      <c r="G252" s="1">
        <v>9883.92010740933</v>
      </c>
      <c r="H252" s="1">
        <v>12.0572235584259</v>
      </c>
      <c r="I252" s="1">
        <v>10678.1758365761</v>
      </c>
      <c r="J252" s="1">
        <v>10678.1758365761</v>
      </c>
      <c r="K252" s="1">
        <v>95.2802460193634</v>
      </c>
      <c r="L252" s="1">
        <v>4789.0</v>
      </c>
      <c r="M252" s="1">
        <f t="shared" si="89"/>
        <v>0</v>
      </c>
      <c r="O252" s="1">
        <v>9888.11601092486</v>
      </c>
      <c r="P252" s="1">
        <v>95.1822476387023</v>
      </c>
      <c r="R252" s="1">
        <v>9784.90186227514</v>
      </c>
      <c r="S252" s="1">
        <v>54.1610918045043</v>
      </c>
    </row>
    <row r="253">
      <c r="C253" s="1">
        <v>100.0</v>
      </c>
      <c r="D253" s="1">
        <v>25.0</v>
      </c>
      <c r="E253" s="1">
        <v>7.0</v>
      </c>
      <c r="G253" s="1">
        <v>9892.20206350688</v>
      </c>
      <c r="H253" s="1">
        <v>11.9995598793029</v>
      </c>
      <c r="I253" s="1">
        <v>10650.3137560769</v>
      </c>
      <c r="J253" s="1">
        <v>10650.3137560769</v>
      </c>
      <c r="K253" s="1">
        <v>96.2540719509124</v>
      </c>
      <c r="L253" s="1">
        <v>4623.0</v>
      </c>
      <c r="M253" s="1">
        <f t="shared" si="89"/>
        <v>0</v>
      </c>
      <c r="O253" s="1">
        <v>9897.37147219496</v>
      </c>
      <c r="P253" s="1">
        <v>110.886005640029</v>
      </c>
      <c r="R253" s="1">
        <v>9780.28356710331</v>
      </c>
      <c r="S253" s="1">
        <v>55.862167596817</v>
      </c>
    </row>
    <row r="254">
      <c r="C254" s="1">
        <v>100.0</v>
      </c>
      <c r="D254" s="1">
        <v>25.0</v>
      </c>
      <c r="E254" s="1">
        <v>8.0</v>
      </c>
      <c r="G254" s="1">
        <v>8207.159309201</v>
      </c>
      <c r="H254" s="1">
        <v>11.9705605506896</v>
      </c>
      <c r="I254" s="1">
        <v>9666.00040836139</v>
      </c>
      <c r="J254" s="1">
        <v>9666.00040836139</v>
      </c>
      <c r="K254" s="1">
        <v>2423.22820448875</v>
      </c>
      <c r="L254" s="1">
        <v>90559.0</v>
      </c>
      <c r="M254" s="1">
        <f t="shared" si="89"/>
        <v>0</v>
      </c>
      <c r="O254" s="1">
        <v>8210.43990914755</v>
      </c>
      <c r="P254" s="1">
        <v>146.416782617568</v>
      </c>
      <c r="R254" s="1">
        <v>8175.9650037985</v>
      </c>
      <c r="S254" s="1">
        <v>49.5114698410034</v>
      </c>
    </row>
    <row r="255">
      <c r="C255" s="1">
        <v>100.0</v>
      </c>
      <c r="D255" s="1">
        <v>25.0</v>
      </c>
      <c r="E255" s="1">
        <v>9.0</v>
      </c>
      <c r="G255" s="1">
        <v>10508.7108836499</v>
      </c>
      <c r="H255" s="1">
        <v>11.9492285251617</v>
      </c>
      <c r="I255" s="1">
        <v>11912.976397801</v>
      </c>
      <c r="J255" s="1">
        <v>11910.0889736166</v>
      </c>
      <c r="K255" s="1">
        <v>3601.42158532142</v>
      </c>
      <c r="L255" s="1">
        <v>112735.0</v>
      </c>
      <c r="M255" s="1">
        <f t="shared" si="89"/>
        <v>0</v>
      </c>
      <c r="O255" s="1">
        <v>10513.8097318847</v>
      </c>
      <c r="P255" s="1">
        <v>93.8324332237243</v>
      </c>
      <c r="R255" s="1">
        <v>10369.4927840676</v>
      </c>
      <c r="S255" s="1">
        <v>63.1421773433685</v>
      </c>
    </row>
    <row r="256">
      <c r="C256" s="1"/>
      <c r="D256" s="1"/>
      <c r="E256" s="1"/>
      <c r="G256" s="8">
        <f t="shared" ref="G256:M256" si="90">AVERAGE(G246:G255)</f>
        <v>9052.2354</v>
      </c>
      <c r="H256" s="8">
        <f t="shared" si="90"/>
        <v>11.95164678</v>
      </c>
      <c r="I256" s="8">
        <f t="shared" si="90"/>
        <v>10217.0299</v>
      </c>
      <c r="J256" s="8">
        <f t="shared" si="90"/>
        <v>10189.32086</v>
      </c>
      <c r="K256" s="8">
        <f t="shared" si="90"/>
        <v>1842.931154</v>
      </c>
      <c r="L256" s="8">
        <f t="shared" si="90"/>
        <v>58780</v>
      </c>
      <c r="M256" s="8">
        <f t="shared" si="90"/>
        <v>0.27</v>
      </c>
      <c r="O256" s="8">
        <f t="shared" ref="O256:P256" si="91">AVERAGE(O246:O255)</f>
        <v>9056.351264</v>
      </c>
      <c r="P256" s="8">
        <f t="shared" si="91"/>
        <v>109.0065305</v>
      </c>
      <c r="R256" s="8">
        <f t="shared" ref="R256:S256" si="92">AVERAGE(R246:R255)</f>
        <v>8947.892758</v>
      </c>
      <c r="S256" s="8">
        <f t="shared" si="92"/>
        <v>50.23349469</v>
      </c>
    </row>
    <row r="257">
      <c r="C257" s="1">
        <v>100.0</v>
      </c>
      <c r="D257" s="1">
        <v>30.0</v>
      </c>
      <c r="E257" s="1">
        <v>0.0</v>
      </c>
      <c r="G257" s="1">
        <v>11793.3909099963</v>
      </c>
      <c r="H257" s="1">
        <v>12.1200482845306</v>
      </c>
      <c r="I257" s="1">
        <v>12822.7639737571</v>
      </c>
      <c r="J257" s="1">
        <v>12822.7639737571</v>
      </c>
      <c r="K257" s="1">
        <v>581.945825338363</v>
      </c>
      <c r="L257" s="1">
        <v>30313.0</v>
      </c>
      <c r="M257" s="1">
        <f t="shared" ref="M257:M266" si="93">TRUNC(100*(I257-J257)/I257,1)</f>
        <v>0</v>
      </c>
      <c r="O257" s="1">
        <v>11797.7519838561</v>
      </c>
      <c r="P257" s="1">
        <v>89.3197741508483</v>
      </c>
      <c r="R257" s="1">
        <v>11550.792243457</v>
      </c>
      <c r="S257" s="1">
        <v>55.8937919139862</v>
      </c>
    </row>
    <row r="258">
      <c r="C258" s="1">
        <v>100.0</v>
      </c>
      <c r="D258" s="1">
        <v>30.0</v>
      </c>
      <c r="E258" s="1">
        <v>1.0</v>
      </c>
      <c r="G258" s="1">
        <v>11523.4978878757</v>
      </c>
      <c r="H258" s="1">
        <v>12.1486701965332</v>
      </c>
      <c r="I258" s="1">
        <v>12319.7663909063</v>
      </c>
      <c r="J258" s="1">
        <v>12319.7663909063</v>
      </c>
      <c r="K258" s="1">
        <v>164.176578044891</v>
      </c>
      <c r="L258" s="1">
        <v>8557.0</v>
      </c>
      <c r="M258" s="1">
        <f t="shared" si="93"/>
        <v>0</v>
      </c>
      <c r="O258" s="1">
        <v>11529.0491970355</v>
      </c>
      <c r="P258" s="1">
        <v>75.6131625175476</v>
      </c>
      <c r="R258" s="1">
        <v>11176.4143744717</v>
      </c>
      <c r="S258" s="1">
        <v>44.0498323440551</v>
      </c>
    </row>
    <row r="259">
      <c r="C259" s="1">
        <v>100.0</v>
      </c>
      <c r="D259" s="1">
        <v>30.0</v>
      </c>
      <c r="E259" s="1">
        <v>2.0</v>
      </c>
      <c r="G259" s="1">
        <v>12787.0496122795</v>
      </c>
      <c r="H259" s="1">
        <v>12.2574191093444</v>
      </c>
      <c r="I259" s="1">
        <v>13681.8022439506</v>
      </c>
      <c r="J259" s="1">
        <v>13681.8022439506</v>
      </c>
      <c r="K259" s="1">
        <v>111.761303186416</v>
      </c>
      <c r="L259" s="1">
        <v>5879.0</v>
      </c>
      <c r="M259" s="1">
        <f t="shared" si="93"/>
        <v>0</v>
      </c>
      <c r="O259" s="1">
        <v>12791.6187765375</v>
      </c>
      <c r="P259" s="1">
        <v>110.025818586349</v>
      </c>
      <c r="R259" s="1">
        <v>12552.8702024797</v>
      </c>
      <c r="S259" s="1">
        <v>54.2766618728637</v>
      </c>
    </row>
    <row r="260">
      <c r="C260" s="1">
        <v>100.0</v>
      </c>
      <c r="D260" s="1">
        <v>30.0</v>
      </c>
      <c r="E260" s="1">
        <v>3.0</v>
      </c>
      <c r="G260" s="1">
        <v>14098.4599833106</v>
      </c>
      <c r="H260" s="1">
        <v>12.1438498497009</v>
      </c>
      <c r="I260" s="1">
        <v>15176.991377977</v>
      </c>
      <c r="J260" s="1">
        <v>15176.991377977</v>
      </c>
      <c r="K260" s="1">
        <v>305.574477195739</v>
      </c>
      <c r="L260" s="1">
        <v>17029.0</v>
      </c>
      <c r="M260" s="1">
        <f t="shared" si="93"/>
        <v>0</v>
      </c>
      <c r="O260" s="1">
        <v>14102.9008171993</v>
      </c>
      <c r="P260" s="1">
        <v>95.6011309623718</v>
      </c>
      <c r="R260" s="1">
        <v>13944.5662948061</v>
      </c>
      <c r="S260" s="1">
        <v>59.5318121910095</v>
      </c>
    </row>
    <row r="261">
      <c r="C261" s="1">
        <v>100.0</v>
      </c>
      <c r="D261" s="1">
        <v>30.0</v>
      </c>
      <c r="E261" s="1">
        <v>4.0</v>
      </c>
      <c r="G261" s="1">
        <v>14255.2182002007</v>
      </c>
      <c r="H261" s="1">
        <v>12.2158117294311</v>
      </c>
      <c r="I261" s="1">
        <v>15445.7530742862</v>
      </c>
      <c r="J261" s="1">
        <v>15445.7530742862</v>
      </c>
      <c r="K261" s="1">
        <v>450.121414661407</v>
      </c>
      <c r="L261" s="1">
        <v>22591.0</v>
      </c>
      <c r="M261" s="1">
        <f t="shared" si="93"/>
        <v>0</v>
      </c>
      <c r="O261" s="1">
        <v>14261.2978744425</v>
      </c>
      <c r="P261" s="1">
        <v>121.761765956878</v>
      </c>
      <c r="R261" s="1">
        <v>13999.5449420783</v>
      </c>
      <c r="S261" s="1">
        <v>57.3966579437255</v>
      </c>
    </row>
    <row r="262">
      <c r="C262" s="1">
        <v>100.0</v>
      </c>
      <c r="D262" s="1">
        <v>30.0</v>
      </c>
      <c r="E262" s="1">
        <v>5.0</v>
      </c>
      <c r="G262" s="1">
        <v>13496.214963725</v>
      </c>
      <c r="H262" s="1">
        <v>12.2671563625335</v>
      </c>
      <c r="I262" s="1">
        <v>14516.6580781707</v>
      </c>
      <c r="J262" s="1">
        <v>14516.6580781707</v>
      </c>
      <c r="K262" s="1">
        <v>956.531166791915</v>
      </c>
      <c r="L262" s="1">
        <v>45839.0</v>
      </c>
      <c r="M262" s="1">
        <f t="shared" si="93"/>
        <v>0</v>
      </c>
      <c r="O262" s="1">
        <v>13501.1975653723</v>
      </c>
      <c r="P262" s="1">
        <v>89.749474287033</v>
      </c>
      <c r="R262" s="1">
        <v>13311.2815072137</v>
      </c>
      <c r="S262" s="1">
        <v>42.2187638282775</v>
      </c>
    </row>
    <row r="263">
      <c r="C263" s="1">
        <v>100.0</v>
      </c>
      <c r="D263" s="1">
        <v>30.0</v>
      </c>
      <c r="E263" s="1">
        <v>6.0</v>
      </c>
      <c r="G263" s="1">
        <v>14477.1265605377</v>
      </c>
      <c r="H263" s="1">
        <v>12.1434295177459</v>
      </c>
      <c r="I263" s="1">
        <v>15064.9614291468</v>
      </c>
      <c r="J263" s="1">
        <v>15064.9614291468</v>
      </c>
      <c r="K263" s="1">
        <v>25.7680113315582</v>
      </c>
      <c r="L263" s="1">
        <v>829.0</v>
      </c>
      <c r="M263" s="1">
        <f t="shared" si="93"/>
        <v>0</v>
      </c>
      <c r="O263" s="1">
        <v>14483.851519057</v>
      </c>
      <c r="P263" s="1">
        <v>104.68778681755</v>
      </c>
      <c r="R263" s="1">
        <v>14290.2308722601</v>
      </c>
      <c r="S263" s="1">
        <v>22.809731721878</v>
      </c>
    </row>
    <row r="264">
      <c r="C264" s="1">
        <v>100.0</v>
      </c>
      <c r="D264" s="1">
        <v>30.0</v>
      </c>
      <c r="E264" s="1">
        <v>7.0</v>
      </c>
      <c r="G264" s="1">
        <v>14422.2792365766</v>
      </c>
      <c r="H264" s="1">
        <v>12.1632902622222</v>
      </c>
      <c r="I264" s="1">
        <v>15074.7262050243</v>
      </c>
      <c r="J264" s="1">
        <v>15074.7262050243</v>
      </c>
      <c r="K264" s="1">
        <v>49.8585994243621</v>
      </c>
      <c r="L264" s="1">
        <v>2327.0</v>
      </c>
      <c r="M264" s="1">
        <f t="shared" si="93"/>
        <v>0</v>
      </c>
      <c r="O264" s="1">
        <v>14427.8888033449</v>
      </c>
      <c r="P264" s="1">
        <v>139.211603403091</v>
      </c>
      <c r="R264" s="1">
        <v>14242.5258881534</v>
      </c>
      <c r="S264" s="1">
        <v>45.8944387435913</v>
      </c>
    </row>
    <row r="265">
      <c r="C265" s="1">
        <v>100.0</v>
      </c>
      <c r="D265" s="1">
        <v>30.0</v>
      </c>
      <c r="E265" s="1">
        <v>8.0</v>
      </c>
      <c r="G265" s="1">
        <v>12676.1885324578</v>
      </c>
      <c r="H265" s="1">
        <v>12.1497356891632</v>
      </c>
      <c r="I265" s="1">
        <v>13922.3518511252</v>
      </c>
      <c r="J265" s="1">
        <v>13922.3518511252</v>
      </c>
      <c r="K265" s="1">
        <v>242.065249204635</v>
      </c>
      <c r="L265" s="1">
        <v>13001.0</v>
      </c>
      <c r="M265" s="1">
        <f t="shared" si="93"/>
        <v>0</v>
      </c>
      <c r="O265" s="1">
        <v>12682.2859628559</v>
      </c>
      <c r="P265" s="1">
        <v>101.267278671264</v>
      </c>
      <c r="R265" s="1">
        <v>12545.2876654276</v>
      </c>
      <c r="S265" s="1">
        <v>64.6685543060302</v>
      </c>
    </row>
    <row r="266">
      <c r="C266" s="1">
        <v>100.0</v>
      </c>
      <c r="D266" s="1">
        <v>30.0</v>
      </c>
      <c r="E266" s="1">
        <v>9.0</v>
      </c>
      <c r="G266" s="1">
        <v>15407.8618172195</v>
      </c>
      <c r="H266" s="1">
        <v>12.1866068840026</v>
      </c>
      <c r="I266" s="1">
        <v>16774.6805401237</v>
      </c>
      <c r="J266" s="1">
        <v>16774.6805401237</v>
      </c>
      <c r="K266" s="1">
        <v>680.652634859085</v>
      </c>
      <c r="L266" s="1">
        <v>33363.0</v>
      </c>
      <c r="M266" s="1">
        <f t="shared" si="93"/>
        <v>0</v>
      </c>
      <c r="O266" s="1">
        <v>15413.4337704285</v>
      </c>
      <c r="P266" s="1">
        <v>115.176930189132</v>
      </c>
      <c r="R266" s="1">
        <v>15197.3649704901</v>
      </c>
      <c r="S266" s="1">
        <v>56.7861518859863</v>
      </c>
    </row>
    <row r="267">
      <c r="C267" s="1"/>
      <c r="D267" s="1"/>
      <c r="E267" s="1"/>
      <c r="G267" s="8">
        <f t="shared" ref="G267:M267" si="94">AVERAGE(G257:G266)</f>
        <v>13493.72877</v>
      </c>
      <c r="H267" s="8">
        <f t="shared" si="94"/>
        <v>12.17960179</v>
      </c>
      <c r="I267" s="8">
        <f t="shared" si="94"/>
        <v>14480.04552</v>
      </c>
      <c r="J267" s="8">
        <f t="shared" si="94"/>
        <v>14480.04552</v>
      </c>
      <c r="K267" s="8">
        <f t="shared" si="94"/>
        <v>356.845526</v>
      </c>
      <c r="L267" s="8">
        <f t="shared" si="94"/>
        <v>17972.8</v>
      </c>
      <c r="M267" s="8">
        <f t="shared" si="94"/>
        <v>0</v>
      </c>
      <c r="O267" s="8">
        <f t="shared" ref="O267:P267" si="95">AVERAGE(O257:O266)</f>
        <v>13499.12763</v>
      </c>
      <c r="P267" s="8">
        <f t="shared" si="95"/>
        <v>104.2414726</v>
      </c>
      <c r="R267" s="8">
        <f t="shared" ref="R267:S267" si="96">AVERAGE(R257:R266)</f>
        <v>13281.0879</v>
      </c>
      <c r="S267" s="8">
        <f t="shared" si="96"/>
        <v>50.35263968</v>
      </c>
    </row>
    <row r="268">
      <c r="C268" s="1">
        <v>150.0</v>
      </c>
      <c r="D268" s="1">
        <v>15.0</v>
      </c>
      <c r="E268" s="1">
        <v>0.0</v>
      </c>
      <c r="G268" s="1">
        <v>3901.08484083408</v>
      </c>
      <c r="H268" s="1">
        <v>27.2536282539367</v>
      </c>
      <c r="I268" s="1">
        <v>5979.4321286721</v>
      </c>
      <c r="J268" s="1">
        <v>4974.53913181748</v>
      </c>
      <c r="K268" s="1">
        <v>3600.06863808631</v>
      </c>
      <c r="L268" s="1">
        <v>56801.0</v>
      </c>
      <c r="M268" s="1">
        <f t="shared" ref="M268:M277" si="97">TRUNC(100*(I268-J268)/I268,1)</f>
        <v>16.8</v>
      </c>
      <c r="O268" s="1">
        <v>3904.19536441714</v>
      </c>
      <c r="P268" s="1">
        <v>382.630497932434</v>
      </c>
      <c r="R268" s="1">
        <v>3872.39185516135</v>
      </c>
      <c r="S268" s="1">
        <v>108.588974714279</v>
      </c>
    </row>
    <row r="269">
      <c r="C269" s="1">
        <v>150.0</v>
      </c>
      <c r="D269" s="1">
        <v>15.0</v>
      </c>
      <c r="E269" s="1">
        <v>1.0</v>
      </c>
      <c r="G269" s="1">
        <v>3965.83914209087</v>
      </c>
      <c r="H269" s="1">
        <v>27.4519762992858</v>
      </c>
      <c r="I269" s="1">
        <v>5951.41427914721</v>
      </c>
      <c r="J269" s="1">
        <v>5062.56282787199</v>
      </c>
      <c r="K269" s="1">
        <v>3600.00392007827</v>
      </c>
      <c r="L269" s="1">
        <v>56769.0</v>
      </c>
      <c r="M269" s="1">
        <f t="shared" si="97"/>
        <v>14.9</v>
      </c>
      <c r="O269" s="1">
        <v>3969.03701433015</v>
      </c>
      <c r="P269" s="1">
        <v>286.915373325347</v>
      </c>
      <c r="R269" s="1">
        <v>3933.97892776277</v>
      </c>
      <c r="S269" s="1">
        <v>121.910099029541</v>
      </c>
    </row>
    <row r="270">
      <c r="C270" s="1">
        <v>150.0</v>
      </c>
      <c r="D270" s="1">
        <v>15.0</v>
      </c>
      <c r="E270" s="1">
        <v>2.0</v>
      </c>
      <c r="G270" s="1">
        <v>3908.14998155112</v>
      </c>
      <c r="H270" s="1">
        <v>27.3698823451995</v>
      </c>
      <c r="I270" s="1">
        <v>5927.27776269177</v>
      </c>
      <c r="J270" s="1">
        <v>4969.63487533406</v>
      </c>
      <c r="K270" s="1">
        <v>3600.12887978553</v>
      </c>
      <c r="L270" s="1">
        <v>56799.0</v>
      </c>
      <c r="M270" s="1">
        <f t="shared" si="97"/>
        <v>16.1</v>
      </c>
      <c r="O270" s="1">
        <v>3911.43686606976</v>
      </c>
      <c r="P270" s="1">
        <v>251.105771303176</v>
      </c>
      <c r="R270" s="1">
        <v>3875.97258472468</v>
      </c>
      <c r="S270" s="1">
        <v>95.4483578205108</v>
      </c>
    </row>
    <row r="271">
      <c r="C271" s="1">
        <v>150.0</v>
      </c>
      <c r="D271" s="1">
        <v>15.0</v>
      </c>
      <c r="E271" s="1">
        <v>3.0</v>
      </c>
      <c r="G271" s="1">
        <v>3713.54326159476</v>
      </c>
      <c r="H271" s="1">
        <v>27.3995366096496</v>
      </c>
      <c r="I271" s="1">
        <v>5863.13408437085</v>
      </c>
      <c r="J271" s="1">
        <v>4821.00936367957</v>
      </c>
      <c r="K271" s="1">
        <v>3600.0495853424</v>
      </c>
      <c r="L271" s="1">
        <v>56705.0</v>
      </c>
      <c r="M271" s="1">
        <f t="shared" si="97"/>
        <v>17.7</v>
      </c>
      <c r="O271" s="1">
        <v>3716.73936820117</v>
      </c>
      <c r="P271" s="1">
        <v>335.145243644714</v>
      </c>
      <c r="R271" s="1">
        <v>3690.80973015502</v>
      </c>
      <c r="S271" s="1">
        <v>94.8832104206085</v>
      </c>
    </row>
    <row r="272">
      <c r="C272" s="1">
        <v>150.0</v>
      </c>
      <c r="D272" s="1">
        <v>15.0</v>
      </c>
      <c r="E272" s="1">
        <v>4.0</v>
      </c>
      <c r="G272" s="1">
        <v>4266.34934653403</v>
      </c>
      <c r="H272" s="1">
        <v>27.3316140174865</v>
      </c>
      <c r="I272" s="1">
        <v>6412.63073040634</v>
      </c>
      <c r="J272" s="1">
        <v>5433.79697606641</v>
      </c>
      <c r="K272" s="1">
        <v>3600.08468008041</v>
      </c>
      <c r="L272" s="1">
        <v>56719.0</v>
      </c>
      <c r="M272" s="1">
        <f t="shared" si="97"/>
        <v>15.2</v>
      </c>
      <c r="O272" s="1">
        <v>4269.46458565862</v>
      </c>
      <c r="P272" s="1">
        <v>307.636474609375</v>
      </c>
      <c r="R272" s="1">
        <v>4241.12840592009</v>
      </c>
      <c r="S272" s="1">
        <v>90.5275695323944</v>
      </c>
    </row>
    <row r="273">
      <c r="C273" s="1">
        <v>150.0</v>
      </c>
      <c r="D273" s="1">
        <v>15.0</v>
      </c>
      <c r="E273" s="1">
        <v>5.0</v>
      </c>
      <c r="G273" s="1">
        <v>3148.34063980042</v>
      </c>
      <c r="H273" s="1">
        <v>27.2691748142242</v>
      </c>
      <c r="I273" s="1">
        <v>5089.13710674488</v>
      </c>
      <c r="J273" s="1">
        <v>4180.58623259474</v>
      </c>
      <c r="K273" s="1">
        <v>3600.1226773262</v>
      </c>
      <c r="L273" s="1">
        <v>56641.0</v>
      </c>
      <c r="M273" s="1">
        <f t="shared" si="97"/>
        <v>17.8</v>
      </c>
      <c r="O273" s="1">
        <v>3151.50145965109</v>
      </c>
      <c r="P273" s="1">
        <v>341.990983247756</v>
      </c>
      <c r="R273" s="1">
        <v>3117.12452212593</v>
      </c>
      <c r="S273" s="1">
        <v>93.240085363388</v>
      </c>
    </row>
    <row r="274">
      <c r="C274" s="1">
        <v>150.0</v>
      </c>
      <c r="D274" s="1">
        <v>15.0</v>
      </c>
      <c r="E274" s="1">
        <v>6.0</v>
      </c>
      <c r="G274" s="1">
        <v>3244.84605842556</v>
      </c>
      <c r="H274" s="1">
        <v>27.225033044815</v>
      </c>
      <c r="I274" s="1">
        <v>5137.13234882267</v>
      </c>
      <c r="J274" s="1">
        <v>4296.24285142935</v>
      </c>
      <c r="K274" s="1">
        <v>3600.10939502716</v>
      </c>
      <c r="L274" s="1">
        <v>56805.0</v>
      </c>
      <c r="M274" s="1">
        <f t="shared" si="97"/>
        <v>16.3</v>
      </c>
      <c r="O274" s="1">
        <v>3248.09342707791</v>
      </c>
      <c r="P274" s="1">
        <v>332.365265607833</v>
      </c>
      <c r="R274" s="1">
        <v>3219.8517913844</v>
      </c>
      <c r="S274" s="1">
        <v>92.3342018127441</v>
      </c>
    </row>
    <row r="275">
      <c r="C275" s="1">
        <v>150.0</v>
      </c>
      <c r="D275" s="1">
        <v>15.0</v>
      </c>
      <c r="E275" s="1">
        <v>7.0</v>
      </c>
      <c r="G275" s="1">
        <v>3140.75951981566</v>
      </c>
      <c r="H275" s="1">
        <v>27.3001444339752</v>
      </c>
      <c r="I275" s="1">
        <v>5536.73671131528</v>
      </c>
      <c r="J275" s="1">
        <v>4387.58210294982</v>
      </c>
      <c r="K275" s="1">
        <v>3600.0093114376</v>
      </c>
      <c r="L275" s="1">
        <v>56971.0</v>
      </c>
      <c r="M275" s="1">
        <f t="shared" si="97"/>
        <v>20.7</v>
      </c>
      <c r="O275" s="1">
        <v>3143.81410412813</v>
      </c>
      <c r="P275" s="1">
        <v>409.892246484756</v>
      </c>
      <c r="R275" s="1">
        <v>3110.11264807832</v>
      </c>
      <c r="S275" s="1">
        <v>112.149675846099</v>
      </c>
    </row>
    <row r="276">
      <c r="C276" s="1">
        <v>150.0</v>
      </c>
      <c r="D276" s="1">
        <v>15.0</v>
      </c>
      <c r="E276" s="1">
        <v>8.0</v>
      </c>
      <c r="G276" s="1">
        <v>3216.23368506998</v>
      </c>
      <c r="H276" s="1">
        <v>27.2133326530456</v>
      </c>
      <c r="I276" s="1">
        <v>5206.48198030552</v>
      </c>
      <c r="J276" s="1">
        <v>4243.51106435702</v>
      </c>
      <c r="K276" s="1">
        <v>3600.10915756225</v>
      </c>
      <c r="L276" s="1">
        <v>56837.0</v>
      </c>
      <c r="M276" s="1">
        <f t="shared" si="97"/>
        <v>18.4</v>
      </c>
      <c r="O276" s="1">
        <v>3219.55290805403</v>
      </c>
      <c r="P276" s="1">
        <v>334.811543703079</v>
      </c>
      <c r="R276" s="1">
        <v>3167.45713499311</v>
      </c>
      <c r="S276" s="1">
        <v>111.391233205795</v>
      </c>
    </row>
    <row r="277">
      <c r="C277" s="1">
        <v>150.0</v>
      </c>
      <c r="D277" s="1">
        <v>15.0</v>
      </c>
      <c r="E277" s="1">
        <v>9.0</v>
      </c>
      <c r="G277" s="1">
        <v>3309.13070226102</v>
      </c>
      <c r="H277" s="1">
        <v>27.177170753479</v>
      </c>
      <c r="I277" s="1">
        <v>5351.51825600652</v>
      </c>
      <c r="J277" s="1">
        <v>4420.07647725944</v>
      </c>
      <c r="K277" s="1">
        <v>3600.10222530365</v>
      </c>
      <c r="L277" s="1">
        <v>57043.0</v>
      </c>
      <c r="M277" s="1">
        <f t="shared" si="97"/>
        <v>17.4</v>
      </c>
      <c r="O277" s="1">
        <v>3312.1006874001</v>
      </c>
      <c r="P277" s="1">
        <v>287.098509550094</v>
      </c>
      <c r="R277" s="1">
        <v>3285.65456351367</v>
      </c>
      <c r="S277" s="1">
        <v>93.6439793109893</v>
      </c>
    </row>
    <row r="278">
      <c r="C278" s="1"/>
      <c r="D278" s="1"/>
      <c r="E278" s="1"/>
      <c r="G278" s="8">
        <f t="shared" ref="G278:M278" si="98">AVERAGE(G268:G277)</f>
        <v>3581.427718</v>
      </c>
      <c r="H278" s="8">
        <f t="shared" si="98"/>
        <v>27.29914932</v>
      </c>
      <c r="I278" s="8">
        <f t="shared" si="98"/>
        <v>5645.489539</v>
      </c>
      <c r="J278" s="8">
        <f t="shared" si="98"/>
        <v>4678.95419</v>
      </c>
      <c r="K278" s="8">
        <f t="shared" si="98"/>
        <v>3600.078847</v>
      </c>
      <c r="L278" s="8">
        <f t="shared" si="98"/>
        <v>56809</v>
      </c>
      <c r="M278" s="8">
        <f t="shared" si="98"/>
        <v>17.13</v>
      </c>
      <c r="O278" s="8">
        <f t="shared" ref="O278:P278" si="99">AVERAGE(O268:O277)</f>
        <v>3584.593578</v>
      </c>
      <c r="P278" s="8">
        <f t="shared" si="99"/>
        <v>326.9591909</v>
      </c>
      <c r="R278" s="8">
        <f t="shared" ref="R278:S278" si="100">AVERAGE(R268:R277)</f>
        <v>3551.448216</v>
      </c>
      <c r="S278" s="8">
        <f t="shared" si="100"/>
        <v>101.4117387</v>
      </c>
    </row>
    <row r="279">
      <c r="C279" s="1">
        <v>150.0</v>
      </c>
      <c r="D279" s="1">
        <v>20.0</v>
      </c>
      <c r="E279" s="1">
        <v>0.0</v>
      </c>
      <c r="G279" s="1">
        <v>5735.72459218678</v>
      </c>
      <c r="H279" s="1">
        <v>27.4629011154174</v>
      </c>
      <c r="I279" s="1">
        <v>7683.31412674824</v>
      </c>
      <c r="J279" s="1">
        <v>6822.16481976577</v>
      </c>
      <c r="K279" s="1">
        <v>3600.01770043373</v>
      </c>
      <c r="L279" s="1">
        <v>56617.0</v>
      </c>
      <c r="M279" s="1">
        <f t="shared" ref="M279:M288" si="101">TRUNC(100*(I279-J279)/I279,1)</f>
        <v>11.2</v>
      </c>
      <c r="O279" s="1">
        <v>5740.31696208273</v>
      </c>
      <c r="P279" s="1">
        <v>331.242278814315</v>
      </c>
      <c r="R279" s="1">
        <v>5644.23394208876</v>
      </c>
      <c r="S279" s="1">
        <v>109.725219726562</v>
      </c>
    </row>
    <row r="280">
      <c r="C280" s="1">
        <v>150.0</v>
      </c>
      <c r="D280" s="1">
        <v>20.0</v>
      </c>
      <c r="E280" s="1">
        <v>1.0</v>
      </c>
      <c r="G280" s="1">
        <v>5762.94052598901</v>
      </c>
      <c r="H280" s="1">
        <v>27.4368147850036</v>
      </c>
      <c r="I280" s="1">
        <v>7781.13101419278</v>
      </c>
      <c r="J280" s="1">
        <v>7029.4715551383</v>
      </c>
      <c r="K280" s="1">
        <v>3600.07174372673</v>
      </c>
      <c r="L280" s="1">
        <v>57045.0</v>
      </c>
      <c r="M280" s="1">
        <f t="shared" si="101"/>
        <v>9.6</v>
      </c>
      <c r="O280" s="1">
        <v>5766.81180041181</v>
      </c>
      <c r="P280" s="1">
        <v>370.040573358535</v>
      </c>
      <c r="R280" s="1">
        <v>5708.26858165206</v>
      </c>
      <c r="S280" s="1">
        <v>122.16781759262</v>
      </c>
    </row>
    <row r="281">
      <c r="C281" s="1">
        <v>150.0</v>
      </c>
      <c r="D281" s="1">
        <v>20.0</v>
      </c>
      <c r="E281" s="1">
        <v>2.0</v>
      </c>
      <c r="G281" s="1">
        <v>5682.731849147</v>
      </c>
      <c r="H281" s="1">
        <v>27.2873513698577</v>
      </c>
      <c r="I281" s="1">
        <v>7790.26594051852</v>
      </c>
      <c r="J281" s="1">
        <v>6929.99008513656</v>
      </c>
      <c r="K281" s="1">
        <v>3600.01279425621</v>
      </c>
      <c r="L281" s="1">
        <v>56757.0</v>
      </c>
      <c r="M281" s="1">
        <f t="shared" si="101"/>
        <v>11</v>
      </c>
      <c r="O281" s="1">
        <v>5687.09491853255</v>
      </c>
      <c r="P281" s="1">
        <v>320.130195140838</v>
      </c>
      <c r="R281" s="1">
        <v>5617.75450238909</v>
      </c>
      <c r="S281" s="1">
        <v>119.132659196853</v>
      </c>
    </row>
    <row r="282">
      <c r="C282" s="1">
        <v>150.0</v>
      </c>
      <c r="D282" s="1">
        <v>20.0</v>
      </c>
      <c r="E282" s="1">
        <v>3.0</v>
      </c>
      <c r="G282" s="1">
        <v>5466.45602832385</v>
      </c>
      <c r="H282" s="1">
        <v>27.372236251831</v>
      </c>
      <c r="I282" s="1">
        <v>7712.59432746238</v>
      </c>
      <c r="J282" s="1">
        <v>6777.52925439248</v>
      </c>
      <c r="K282" s="1">
        <v>3600.09942245483</v>
      </c>
      <c r="L282" s="1">
        <v>56749.0</v>
      </c>
      <c r="M282" s="1">
        <f t="shared" si="101"/>
        <v>12.1</v>
      </c>
      <c r="O282" s="1">
        <v>5470.97351156404</v>
      </c>
      <c r="P282" s="1">
        <v>323.464096307754</v>
      </c>
      <c r="R282" s="1">
        <v>5422.07958703707</v>
      </c>
      <c r="S282" s="1">
        <v>130.437067508697</v>
      </c>
    </row>
    <row r="283">
      <c r="C283" s="1">
        <v>150.0</v>
      </c>
      <c r="D283" s="1">
        <v>20.0</v>
      </c>
      <c r="E283" s="1">
        <v>4.0</v>
      </c>
      <c r="G283" s="1">
        <v>6198.48128855509</v>
      </c>
      <c r="H283" s="1">
        <v>27.3452730178833</v>
      </c>
      <c r="I283" s="1">
        <v>8652.71804080946</v>
      </c>
      <c r="J283" s="1">
        <v>7624.00599435025</v>
      </c>
      <c r="K283" s="1">
        <v>3600.08694267272</v>
      </c>
      <c r="L283" s="1">
        <v>56849.0</v>
      </c>
      <c r="M283" s="1">
        <f t="shared" si="101"/>
        <v>11.8</v>
      </c>
      <c r="O283" s="1">
        <v>6202.89654255799</v>
      </c>
      <c r="P283" s="1">
        <v>375.000291347503</v>
      </c>
      <c r="R283" s="1">
        <v>6163.75959808356</v>
      </c>
      <c r="S283" s="1">
        <v>114.236939907073</v>
      </c>
    </row>
    <row r="284">
      <c r="C284" s="1">
        <v>150.0</v>
      </c>
      <c r="D284" s="1">
        <v>20.0</v>
      </c>
      <c r="E284" s="1">
        <v>5.0</v>
      </c>
      <c r="G284" s="1">
        <v>4632.41378792686</v>
      </c>
      <c r="H284" s="1">
        <v>27.2969887256622</v>
      </c>
      <c r="I284" s="1">
        <v>6640.85088899118</v>
      </c>
      <c r="J284" s="1">
        <v>5873.89477973929</v>
      </c>
      <c r="K284" s="1">
        <v>3600.05262756347</v>
      </c>
      <c r="L284" s="1">
        <v>56617.0</v>
      </c>
      <c r="M284" s="1">
        <f t="shared" si="101"/>
        <v>11.5</v>
      </c>
      <c r="O284" s="1">
        <v>4636.32191676497</v>
      </c>
      <c r="P284" s="1">
        <v>292.791901111602</v>
      </c>
      <c r="R284" s="1">
        <v>4597.38049169272</v>
      </c>
      <c r="S284" s="1">
        <v>109.839884281158</v>
      </c>
    </row>
    <row r="285">
      <c r="C285" s="1">
        <v>150.0</v>
      </c>
      <c r="D285" s="1">
        <v>20.0</v>
      </c>
      <c r="E285" s="1">
        <v>6.0</v>
      </c>
      <c r="G285" s="1">
        <v>4689.78527316593</v>
      </c>
      <c r="H285" s="1">
        <v>27.2772803306579</v>
      </c>
      <c r="I285" s="1">
        <v>6897.69179132846</v>
      </c>
      <c r="J285" s="1">
        <v>5992.01030916118</v>
      </c>
      <c r="K285" s="1">
        <v>3600.00682497024</v>
      </c>
      <c r="L285" s="1">
        <v>56697.0</v>
      </c>
      <c r="M285" s="1">
        <f t="shared" si="101"/>
        <v>13.1</v>
      </c>
      <c r="O285" s="1">
        <v>4693.36699260414</v>
      </c>
      <c r="P285" s="1">
        <v>310.27712392807</v>
      </c>
      <c r="R285" s="1">
        <v>4649.38417503881</v>
      </c>
      <c r="S285" s="1">
        <v>120.33847117424</v>
      </c>
    </row>
    <row r="286">
      <c r="C286" s="1">
        <v>150.0</v>
      </c>
      <c r="D286" s="1">
        <v>20.0</v>
      </c>
      <c r="E286" s="1">
        <v>7.0</v>
      </c>
      <c r="G286" s="1">
        <v>4738.09626749262</v>
      </c>
      <c r="H286" s="1">
        <v>27.4603712558746</v>
      </c>
      <c r="I286" s="1">
        <v>7340.35055481512</v>
      </c>
      <c r="J286" s="1">
        <v>6264.44652135253</v>
      </c>
      <c r="K286" s="1">
        <v>3600.10272049903</v>
      </c>
      <c r="L286" s="1">
        <v>56647.0</v>
      </c>
      <c r="M286" s="1">
        <f t="shared" si="101"/>
        <v>14.6</v>
      </c>
      <c r="O286" s="1">
        <v>4742.18513755864</v>
      </c>
      <c r="P286" s="1">
        <v>266.24717760086</v>
      </c>
      <c r="R286" s="1">
        <v>4697.41416644781</v>
      </c>
      <c r="S286" s="1">
        <v>119.517282962799</v>
      </c>
    </row>
    <row r="287">
      <c r="C287" s="1">
        <v>150.0</v>
      </c>
      <c r="D287" s="1">
        <v>20.0</v>
      </c>
      <c r="E287" s="1">
        <v>8.0</v>
      </c>
      <c r="G287" s="1">
        <v>4820.15211895551</v>
      </c>
      <c r="H287" s="1">
        <v>27.3616509437561</v>
      </c>
      <c r="I287" s="1">
        <v>6775.24443968175</v>
      </c>
      <c r="J287" s="1">
        <v>5987.63002355938</v>
      </c>
      <c r="K287" s="1">
        <v>3600.10341715812</v>
      </c>
      <c r="L287" s="1">
        <v>56793.0</v>
      </c>
      <c r="M287" s="1">
        <f t="shared" si="101"/>
        <v>11.6</v>
      </c>
      <c r="O287" s="1">
        <v>4824.72178814509</v>
      </c>
      <c r="P287" s="1">
        <v>397.750470876693</v>
      </c>
      <c r="R287" s="1">
        <v>4756.98418868466</v>
      </c>
      <c r="S287" s="1">
        <v>135.720361471176</v>
      </c>
    </row>
    <row r="288">
      <c r="C288" s="1">
        <v>150.0</v>
      </c>
      <c r="D288" s="1">
        <v>20.0</v>
      </c>
      <c r="E288" s="1">
        <v>9.0</v>
      </c>
      <c r="G288" s="1">
        <v>4950.21592444015</v>
      </c>
      <c r="H288" s="1">
        <v>27.4719161987304</v>
      </c>
      <c r="I288" s="1">
        <v>7140.39011401928</v>
      </c>
      <c r="J288" s="1">
        <v>6205.97334475161</v>
      </c>
      <c r="K288" s="1">
        <v>3600.04093074798</v>
      </c>
      <c r="L288" s="1">
        <v>56627.0</v>
      </c>
      <c r="M288" s="1">
        <f t="shared" si="101"/>
        <v>13</v>
      </c>
      <c r="O288" s="1">
        <v>4955.13267952269</v>
      </c>
      <c r="P288" s="1">
        <v>469.527833938598</v>
      </c>
      <c r="R288" s="1">
        <v>4906.39007860215</v>
      </c>
      <c r="S288" s="1">
        <v>144.85654425621</v>
      </c>
    </row>
    <row r="289">
      <c r="C289" s="1"/>
      <c r="D289" s="1"/>
      <c r="E289" s="1"/>
      <c r="G289" s="8">
        <f t="shared" ref="G289:M289" si="102">AVERAGE(G279:G288)</f>
        <v>5267.699766</v>
      </c>
      <c r="H289" s="8">
        <f t="shared" si="102"/>
        <v>27.3772784</v>
      </c>
      <c r="I289" s="8">
        <f t="shared" si="102"/>
        <v>7441.455124</v>
      </c>
      <c r="J289" s="8">
        <f t="shared" si="102"/>
        <v>6550.711669</v>
      </c>
      <c r="K289" s="8">
        <f t="shared" si="102"/>
        <v>3600.059512</v>
      </c>
      <c r="L289" s="8">
        <f t="shared" si="102"/>
        <v>56739.8</v>
      </c>
      <c r="M289" s="8">
        <f t="shared" si="102"/>
        <v>11.95</v>
      </c>
      <c r="O289" s="8">
        <f t="shared" ref="O289:P289" si="103">AVERAGE(O279:O288)</f>
        <v>5271.982225</v>
      </c>
      <c r="P289" s="8">
        <f t="shared" si="103"/>
        <v>345.6471942</v>
      </c>
      <c r="R289" s="8">
        <f t="shared" ref="R289:S289" si="104">AVERAGE(R279:R288)</f>
        <v>5216.364931</v>
      </c>
      <c r="S289" s="8">
        <f t="shared" si="104"/>
        <v>122.5972248</v>
      </c>
    </row>
    <row r="290">
      <c r="C290" s="1">
        <v>150.0</v>
      </c>
      <c r="D290" s="1">
        <v>25.0</v>
      </c>
      <c r="E290" s="1">
        <v>0.0</v>
      </c>
      <c r="G290" s="1">
        <v>8246.1678944925</v>
      </c>
      <c r="H290" s="1">
        <v>27.7652752399444</v>
      </c>
      <c r="I290" s="1">
        <v>9986.17635129472</v>
      </c>
      <c r="J290" s="1">
        <v>9387.96475674195</v>
      </c>
      <c r="K290" s="1">
        <v>3600.02920246124</v>
      </c>
      <c r="L290" s="1">
        <v>56605.0</v>
      </c>
      <c r="M290" s="1">
        <f t="shared" ref="M290:M299" si="105">TRUNC(100*(I290-J290)/I290,1)</f>
        <v>5.9</v>
      </c>
      <c r="O290" s="1">
        <v>8251.75776376563</v>
      </c>
      <c r="P290" s="1">
        <v>399.695259094238</v>
      </c>
      <c r="R290" s="1">
        <v>8130.27437154557</v>
      </c>
      <c r="S290" s="1">
        <v>155.79436969757</v>
      </c>
    </row>
    <row r="291">
      <c r="C291" s="1">
        <v>150.0</v>
      </c>
      <c r="D291" s="1">
        <v>25.0</v>
      </c>
      <c r="E291" s="1">
        <v>1.0</v>
      </c>
      <c r="G291" s="1">
        <v>8337.88141124683</v>
      </c>
      <c r="H291" s="1">
        <v>27.7549400329589</v>
      </c>
      <c r="I291" s="1">
        <v>10529.492613046</v>
      </c>
      <c r="J291" s="1">
        <v>9677.74171474382</v>
      </c>
      <c r="K291" s="1">
        <v>3600.04520082473</v>
      </c>
      <c r="L291" s="1">
        <v>56521.0</v>
      </c>
      <c r="M291" s="1">
        <f t="shared" si="105"/>
        <v>8</v>
      </c>
      <c r="O291" s="1">
        <v>8342.61416572242</v>
      </c>
      <c r="P291" s="1">
        <v>319.251714944839</v>
      </c>
      <c r="R291" s="1">
        <v>8236.40386579932</v>
      </c>
      <c r="S291" s="1">
        <v>153.03611421585</v>
      </c>
    </row>
    <row r="292">
      <c r="C292" s="1">
        <v>150.0</v>
      </c>
      <c r="D292" s="1">
        <v>25.0</v>
      </c>
      <c r="E292" s="1">
        <v>2.0</v>
      </c>
      <c r="G292" s="1">
        <v>8182.8146744776</v>
      </c>
      <c r="H292" s="1">
        <v>27.6699705123901</v>
      </c>
      <c r="I292" s="1">
        <v>10133.2582709229</v>
      </c>
      <c r="J292" s="1">
        <v>9585.30161914491</v>
      </c>
      <c r="K292" s="1">
        <v>3600.02303695678</v>
      </c>
      <c r="L292" s="1">
        <v>56495.0</v>
      </c>
      <c r="M292" s="1">
        <f t="shared" si="105"/>
        <v>5.4</v>
      </c>
      <c r="O292" s="1">
        <v>8187.1037930159</v>
      </c>
      <c r="P292" s="1">
        <v>387.294325828552</v>
      </c>
      <c r="R292" s="1">
        <v>8119.72856819849</v>
      </c>
      <c r="S292" s="1">
        <v>131.960261821746</v>
      </c>
    </row>
    <row r="293">
      <c r="C293" s="1">
        <v>150.0</v>
      </c>
      <c r="D293" s="1">
        <v>25.0</v>
      </c>
      <c r="E293" s="1">
        <v>3.0</v>
      </c>
      <c r="G293" s="1">
        <v>8096.3541470905</v>
      </c>
      <c r="H293" s="1">
        <v>27.5531537532806</v>
      </c>
      <c r="I293" s="1">
        <v>10418.4507018857</v>
      </c>
      <c r="J293" s="1">
        <v>9481.14984548076</v>
      </c>
      <c r="K293" s="1">
        <v>3600.09236168861</v>
      </c>
      <c r="L293" s="1">
        <v>56335.0</v>
      </c>
      <c r="M293" s="1">
        <f t="shared" si="105"/>
        <v>8.9</v>
      </c>
      <c r="O293" s="1">
        <v>8101.84024490933</v>
      </c>
      <c r="P293" s="1">
        <v>412.242745637893</v>
      </c>
      <c r="R293" s="1">
        <v>8021.74192524787</v>
      </c>
      <c r="S293" s="1">
        <v>156.91758775711</v>
      </c>
    </row>
    <row r="294">
      <c r="C294" s="1">
        <v>150.0</v>
      </c>
      <c r="D294" s="1">
        <v>25.0</v>
      </c>
      <c r="E294" s="1">
        <v>4.0</v>
      </c>
      <c r="G294" s="1">
        <v>9025.28691732654</v>
      </c>
      <c r="H294" s="1">
        <v>27.5691354274749</v>
      </c>
      <c r="I294" s="1">
        <v>11900.9557456533</v>
      </c>
      <c r="J294" s="1">
        <v>10562.6484021203</v>
      </c>
      <c r="K294" s="1">
        <v>3600.08810281753</v>
      </c>
      <c r="L294" s="1">
        <v>56419.0</v>
      </c>
      <c r="M294" s="1">
        <f t="shared" si="105"/>
        <v>11.2</v>
      </c>
      <c r="O294" s="1">
        <v>9030.29213674098</v>
      </c>
      <c r="P294" s="1">
        <v>267.705929994583</v>
      </c>
      <c r="R294" s="1">
        <v>8923.66501075015</v>
      </c>
      <c r="S294" s="1">
        <v>136.964814186096</v>
      </c>
    </row>
    <row r="295">
      <c r="C295" s="1">
        <v>150.0</v>
      </c>
      <c r="D295" s="1">
        <v>25.0</v>
      </c>
      <c r="E295" s="1">
        <v>5.0</v>
      </c>
      <c r="G295" s="1">
        <v>7009.29267999061</v>
      </c>
      <c r="H295" s="1">
        <v>27.623249053955</v>
      </c>
      <c r="I295" s="1">
        <v>8974.96763435231</v>
      </c>
      <c r="J295" s="1">
        <v>8312.24722940919</v>
      </c>
      <c r="K295" s="1">
        <v>3600.07097816467</v>
      </c>
      <c r="L295" s="1">
        <v>56295.0</v>
      </c>
      <c r="M295" s="1">
        <f t="shared" si="105"/>
        <v>7.3</v>
      </c>
      <c r="O295" s="1">
        <v>7014.16804712201</v>
      </c>
      <c r="P295" s="1">
        <v>361.982122898101</v>
      </c>
      <c r="R295" s="1">
        <v>6925.13641872331</v>
      </c>
      <c r="S295" s="1">
        <v>153.35400724411</v>
      </c>
    </row>
    <row r="296">
      <c r="C296" s="1">
        <v>150.0</v>
      </c>
      <c r="D296" s="1">
        <v>25.0</v>
      </c>
      <c r="E296" s="1">
        <v>6.0</v>
      </c>
      <c r="G296" s="1">
        <v>6916.5539381568</v>
      </c>
      <c r="H296" s="1">
        <v>27.4987022876739</v>
      </c>
      <c r="I296" s="1">
        <v>8971.24468220238</v>
      </c>
      <c r="J296" s="1">
        <v>8282.80401756636</v>
      </c>
      <c r="K296" s="1">
        <v>3600.10932588577</v>
      </c>
      <c r="L296" s="1">
        <v>56279.0</v>
      </c>
      <c r="M296" s="1">
        <f t="shared" si="105"/>
        <v>7.6</v>
      </c>
      <c r="O296" s="1">
        <v>6920.1961496953</v>
      </c>
      <c r="P296" s="1">
        <v>365.52580499649</v>
      </c>
      <c r="R296" s="1">
        <v>6854.1117935008</v>
      </c>
      <c r="S296" s="1">
        <v>115.822356700897</v>
      </c>
    </row>
    <row r="297">
      <c r="C297" s="1">
        <v>150.0</v>
      </c>
      <c r="D297" s="1">
        <v>25.0</v>
      </c>
      <c r="E297" s="1">
        <v>7.0</v>
      </c>
      <c r="G297" s="1">
        <v>7226.61745053187</v>
      </c>
      <c r="H297" s="1">
        <v>27.5930745601654</v>
      </c>
      <c r="I297" s="1">
        <v>10018.7600574114</v>
      </c>
      <c r="J297" s="1">
        <v>8985.97779126118</v>
      </c>
      <c r="K297" s="1">
        <v>3600.03081989288</v>
      </c>
      <c r="L297" s="1">
        <v>56419.0</v>
      </c>
      <c r="M297" s="1">
        <f t="shared" si="105"/>
        <v>10.3</v>
      </c>
      <c r="O297" s="1">
        <v>7231.56416005734</v>
      </c>
      <c r="P297" s="1">
        <v>406.310368537902</v>
      </c>
      <c r="R297" s="1">
        <v>7173.013854802</v>
      </c>
      <c r="S297" s="1">
        <v>136.901369094848</v>
      </c>
    </row>
    <row r="298">
      <c r="C298" s="1">
        <v>150.0</v>
      </c>
      <c r="D298" s="1">
        <v>25.0</v>
      </c>
      <c r="E298" s="1">
        <v>8.0</v>
      </c>
      <c r="G298" s="1">
        <v>7183.57194022293</v>
      </c>
      <c r="H298" s="1">
        <v>27.5593373775482</v>
      </c>
      <c r="I298" s="1">
        <v>9103.22607899371</v>
      </c>
      <c r="J298" s="1">
        <v>8493.57137827751</v>
      </c>
      <c r="K298" s="1">
        <v>3600.07385849952</v>
      </c>
      <c r="L298" s="1">
        <v>56431.0</v>
      </c>
      <c r="M298" s="1">
        <f t="shared" si="105"/>
        <v>6.6</v>
      </c>
      <c r="O298" s="1">
        <v>7189.04830271463</v>
      </c>
      <c r="P298" s="1">
        <v>379.310160398483</v>
      </c>
      <c r="R298" s="1">
        <v>7099.99972617283</v>
      </c>
      <c r="S298" s="1">
        <v>164.441885232925</v>
      </c>
    </row>
    <row r="299">
      <c r="C299" s="1">
        <v>150.0</v>
      </c>
      <c r="D299" s="1">
        <v>25.0</v>
      </c>
      <c r="E299" s="1">
        <v>9.0</v>
      </c>
      <c r="G299" s="1">
        <v>7437.8182654732</v>
      </c>
      <c r="H299" s="1">
        <v>27.6262912750244</v>
      </c>
      <c r="I299" s="1">
        <v>9546.09049650547</v>
      </c>
      <c r="J299" s="1">
        <v>8783.39638763225</v>
      </c>
      <c r="K299" s="1">
        <v>3600.08207178115</v>
      </c>
      <c r="L299" s="1">
        <v>56497.0</v>
      </c>
      <c r="M299" s="1">
        <f t="shared" si="105"/>
        <v>7.9</v>
      </c>
      <c r="O299" s="1">
        <v>7443.70499239341</v>
      </c>
      <c r="P299" s="1">
        <v>399.697881937027</v>
      </c>
      <c r="R299" s="1">
        <v>7345.13720921431</v>
      </c>
      <c r="S299" s="1">
        <v>152.83556818962</v>
      </c>
    </row>
    <row r="300">
      <c r="C300" s="1"/>
      <c r="D300" s="1"/>
      <c r="E300" s="1"/>
      <c r="G300" s="8">
        <f t="shared" ref="G300:M300" si="106">AVERAGE(G290:G299)</f>
        <v>7766.235932</v>
      </c>
      <c r="H300" s="8">
        <f t="shared" si="106"/>
        <v>27.62131295</v>
      </c>
      <c r="I300" s="8">
        <f t="shared" si="106"/>
        <v>9958.262263</v>
      </c>
      <c r="J300" s="8">
        <f t="shared" si="106"/>
        <v>9155.280314</v>
      </c>
      <c r="K300" s="8">
        <f t="shared" si="106"/>
        <v>3600.064496</v>
      </c>
      <c r="L300" s="8">
        <f t="shared" si="106"/>
        <v>56429.6</v>
      </c>
      <c r="M300" s="8">
        <f t="shared" si="106"/>
        <v>7.91</v>
      </c>
      <c r="O300" s="8">
        <f t="shared" ref="O300:P300" si="107">AVERAGE(O290:O299)</f>
        <v>7771.228976</v>
      </c>
      <c r="P300" s="8">
        <f t="shared" si="107"/>
        <v>369.9016314</v>
      </c>
      <c r="R300" s="8">
        <f t="shared" ref="R300:S300" si="108">AVERAGE(R290:R299)</f>
        <v>7682.921274</v>
      </c>
      <c r="S300" s="8">
        <f t="shared" si="108"/>
        <v>145.8028334</v>
      </c>
    </row>
    <row r="301">
      <c r="C301" s="1">
        <v>150.0</v>
      </c>
      <c r="D301" s="1">
        <v>30.0</v>
      </c>
      <c r="E301" s="1">
        <v>0.0</v>
      </c>
      <c r="G301" s="1">
        <v>11591.3117783133</v>
      </c>
      <c r="H301" s="1">
        <v>27.8033733367919</v>
      </c>
      <c r="I301" s="1">
        <v>13129.1555073555</v>
      </c>
      <c r="J301" s="1">
        <v>12710.5322072779</v>
      </c>
      <c r="K301" s="1">
        <v>3600.00850701332</v>
      </c>
      <c r="L301" s="1">
        <v>57629.0</v>
      </c>
      <c r="M301" s="1">
        <f t="shared" ref="M301:M310" si="109">TRUNC(100*(I301-J301)/I301,1)</f>
        <v>3.1</v>
      </c>
      <c r="O301" s="1">
        <v>11598.7696608121</v>
      </c>
      <c r="P301" s="1">
        <v>332.792967081069</v>
      </c>
      <c r="R301" s="1">
        <v>11468.1676909753</v>
      </c>
      <c r="S301" s="1">
        <v>151.100416183471</v>
      </c>
    </row>
    <row r="302">
      <c r="C302" s="1">
        <v>150.0</v>
      </c>
      <c r="D302" s="1">
        <v>30.0</v>
      </c>
      <c r="E302" s="1">
        <v>1.0</v>
      </c>
      <c r="G302" s="1">
        <v>11743.6995354005</v>
      </c>
      <c r="H302" s="1">
        <v>27.8131833076477</v>
      </c>
      <c r="I302" s="1">
        <v>14181.4159797582</v>
      </c>
      <c r="J302" s="1">
        <v>12993.8333438849</v>
      </c>
      <c r="K302" s="1">
        <v>3600.01161694526</v>
      </c>
      <c r="L302" s="1">
        <v>56403.0</v>
      </c>
      <c r="M302" s="1">
        <f t="shared" si="109"/>
        <v>8.3</v>
      </c>
      <c r="O302" s="1">
        <v>11749.4515438052</v>
      </c>
      <c r="P302" s="1">
        <v>378.688287258148</v>
      </c>
      <c r="R302" s="1">
        <v>11555.3516166447</v>
      </c>
      <c r="S302" s="1">
        <v>130.314131021499</v>
      </c>
    </row>
    <row r="303">
      <c r="C303" s="1">
        <v>150.0</v>
      </c>
      <c r="D303" s="1">
        <v>30.0</v>
      </c>
      <c r="E303" s="1">
        <v>2.0</v>
      </c>
      <c r="G303" s="1">
        <v>11616.1086795782</v>
      </c>
      <c r="H303" s="1">
        <v>27.7544639110565</v>
      </c>
      <c r="I303" s="1">
        <v>13365.1559673457</v>
      </c>
      <c r="J303" s="1">
        <v>13066.738633146</v>
      </c>
      <c r="K303" s="1">
        <v>3600.10444307327</v>
      </c>
      <c r="L303" s="1">
        <v>60195.0</v>
      </c>
      <c r="M303" s="1">
        <f t="shared" si="109"/>
        <v>2.2</v>
      </c>
      <c r="O303" s="1">
        <v>11621.1171387634</v>
      </c>
      <c r="P303" s="1">
        <v>299.289269447326</v>
      </c>
      <c r="R303" s="1">
        <v>11521.6611743754</v>
      </c>
      <c r="S303" s="1">
        <v>171.253811359405</v>
      </c>
    </row>
    <row r="304">
      <c r="C304" s="1">
        <v>150.0</v>
      </c>
      <c r="D304" s="1">
        <v>30.0</v>
      </c>
      <c r="E304" s="1">
        <v>3.0</v>
      </c>
      <c r="G304" s="1">
        <v>11696.8792770698</v>
      </c>
      <c r="H304" s="1">
        <v>27.6564135551452</v>
      </c>
      <c r="I304" s="1">
        <v>13733.8466910054</v>
      </c>
      <c r="J304" s="1">
        <v>13053.7494703681</v>
      </c>
      <c r="K304" s="1">
        <v>3600.01699495315</v>
      </c>
      <c r="L304" s="1">
        <v>56361.0</v>
      </c>
      <c r="M304" s="1">
        <f t="shared" si="109"/>
        <v>4.9</v>
      </c>
      <c r="O304" s="1">
        <v>11703.7278404197</v>
      </c>
      <c r="P304" s="1">
        <v>332.789607286453</v>
      </c>
      <c r="R304" s="1">
        <v>11562.9823202542</v>
      </c>
      <c r="S304" s="1">
        <v>143.339274644851</v>
      </c>
    </row>
    <row r="305">
      <c r="C305" s="1">
        <v>150.0</v>
      </c>
      <c r="D305" s="1">
        <v>30.0</v>
      </c>
      <c r="E305" s="1">
        <v>4.0</v>
      </c>
      <c r="G305" s="1">
        <v>12744.751766831</v>
      </c>
      <c r="H305" s="1">
        <v>27.760727405548</v>
      </c>
      <c r="I305" s="1">
        <v>15546.0632198568</v>
      </c>
      <c r="J305" s="1">
        <v>14349.1362803358</v>
      </c>
      <c r="K305" s="1">
        <v>3600.12232136726</v>
      </c>
      <c r="L305" s="1">
        <v>56457.0</v>
      </c>
      <c r="M305" s="1">
        <f t="shared" si="109"/>
        <v>7.6</v>
      </c>
      <c r="O305" s="1">
        <v>12751.1740389248</v>
      </c>
      <c r="P305" s="1">
        <v>361.821797132492</v>
      </c>
      <c r="R305" s="1">
        <v>12559.6015524222</v>
      </c>
      <c r="S305" s="1">
        <v>119.564665794372</v>
      </c>
    </row>
    <row r="306">
      <c r="C306" s="1">
        <v>150.0</v>
      </c>
      <c r="D306" s="1">
        <v>30.0</v>
      </c>
      <c r="E306" s="1">
        <v>5.0</v>
      </c>
      <c r="G306" s="1">
        <v>10328.3073294391</v>
      </c>
      <c r="H306" s="1">
        <v>27.7786309719085</v>
      </c>
      <c r="I306" s="1">
        <v>12145.2428375212</v>
      </c>
      <c r="J306" s="1">
        <v>11549.4950358245</v>
      </c>
      <c r="K306" s="1">
        <v>3600.07639861106</v>
      </c>
      <c r="L306" s="1">
        <v>56315.0</v>
      </c>
      <c r="M306" s="1">
        <f t="shared" si="109"/>
        <v>4.9</v>
      </c>
      <c r="O306" s="1">
        <v>10334.7212615652</v>
      </c>
      <c r="P306" s="1">
        <v>367.608083486557</v>
      </c>
      <c r="R306" s="1">
        <v>10134.2749280571</v>
      </c>
      <c r="S306" s="1">
        <v>147.647726774215</v>
      </c>
    </row>
    <row r="307">
      <c r="C307" s="1">
        <v>150.0</v>
      </c>
      <c r="D307" s="1">
        <v>30.0</v>
      </c>
      <c r="E307" s="1">
        <v>6.0</v>
      </c>
      <c r="G307" s="1">
        <v>9991.32104687638</v>
      </c>
      <c r="H307" s="1">
        <v>27.704124212265</v>
      </c>
      <c r="I307" s="1">
        <v>11768.0604616755</v>
      </c>
      <c r="J307" s="1">
        <v>11365.4622378911</v>
      </c>
      <c r="K307" s="1">
        <v>3600.09088134765</v>
      </c>
      <c r="L307" s="1">
        <v>57179.0</v>
      </c>
      <c r="M307" s="1">
        <f t="shared" si="109"/>
        <v>3.4</v>
      </c>
      <c r="O307" s="1">
        <v>9995.3794472587</v>
      </c>
      <c r="P307" s="1">
        <v>300.702235221862</v>
      </c>
      <c r="R307" s="1">
        <v>9912.68461126901</v>
      </c>
      <c r="S307" s="1">
        <v>120.589221477508</v>
      </c>
    </row>
    <row r="308">
      <c r="C308" s="1">
        <v>150.0</v>
      </c>
      <c r="D308" s="1">
        <v>30.0</v>
      </c>
      <c r="E308" s="1">
        <v>7.0</v>
      </c>
      <c r="G308" s="1">
        <v>10919.197158992</v>
      </c>
      <c r="H308" s="1">
        <v>27.6108510494232</v>
      </c>
      <c r="I308" s="1">
        <v>13634.8930774047</v>
      </c>
      <c r="J308" s="1">
        <v>12719.560826707</v>
      </c>
      <c r="K308" s="1">
        <v>3600.10266780853</v>
      </c>
      <c r="L308" s="1">
        <v>56509.0</v>
      </c>
      <c r="M308" s="1">
        <f t="shared" si="109"/>
        <v>6.7</v>
      </c>
      <c r="O308" s="1">
        <v>10925.996900669</v>
      </c>
      <c r="P308" s="1">
        <v>295.410734415054</v>
      </c>
      <c r="R308" s="1">
        <v>10797.3286233959</v>
      </c>
      <c r="S308" s="1">
        <v>155.995418787002</v>
      </c>
    </row>
    <row r="309">
      <c r="C309" s="1">
        <v>150.0</v>
      </c>
      <c r="D309" s="1">
        <v>30.0</v>
      </c>
      <c r="E309" s="1">
        <v>8.0</v>
      </c>
      <c r="G309" s="1">
        <v>10409.3919965423</v>
      </c>
      <c r="H309" s="1">
        <v>27.658145904541</v>
      </c>
      <c r="I309" s="1">
        <v>12228.5353643591</v>
      </c>
      <c r="J309" s="1">
        <v>11780.9271173289</v>
      </c>
      <c r="K309" s="1">
        <v>3600.12723016738</v>
      </c>
      <c r="L309" s="1">
        <v>56475.0</v>
      </c>
      <c r="M309" s="1">
        <f t="shared" si="109"/>
        <v>3.6</v>
      </c>
      <c r="O309" s="1">
        <v>10415.6407772703</v>
      </c>
      <c r="P309" s="1">
        <v>396.67561841011</v>
      </c>
      <c r="R309" s="1">
        <v>10286.3548119102</v>
      </c>
      <c r="S309" s="1">
        <v>151.759470939636</v>
      </c>
    </row>
    <row r="310">
      <c r="C310" s="1">
        <v>150.0</v>
      </c>
      <c r="D310" s="1">
        <v>30.0</v>
      </c>
      <c r="E310" s="1">
        <v>9.0</v>
      </c>
      <c r="G310" s="1">
        <v>10844.5166942216</v>
      </c>
      <c r="H310" s="1">
        <v>27.6559805870056</v>
      </c>
      <c r="I310" s="1">
        <v>12811.6375819064</v>
      </c>
      <c r="J310" s="1">
        <v>12279.5883634684</v>
      </c>
      <c r="K310" s="1">
        <v>3600.09611392021</v>
      </c>
      <c r="L310" s="1">
        <v>56483.0</v>
      </c>
      <c r="M310" s="1">
        <f t="shared" si="109"/>
        <v>4.1</v>
      </c>
      <c r="O310" s="1">
        <v>10851.304626276</v>
      </c>
      <c r="P310" s="1">
        <v>336.74602985382</v>
      </c>
      <c r="R310" s="1">
        <v>10668.3283407184</v>
      </c>
      <c r="S310" s="1">
        <v>162.641203641891</v>
      </c>
    </row>
    <row r="311">
      <c r="C311" s="1"/>
      <c r="D311" s="1"/>
      <c r="E311" s="1"/>
      <c r="G311" s="8">
        <f t="shared" ref="G311:M311" si="110">AVERAGE(G301:G310)</f>
        <v>11188.54853</v>
      </c>
      <c r="H311" s="8">
        <f t="shared" si="110"/>
        <v>27.71958942</v>
      </c>
      <c r="I311" s="8">
        <f t="shared" si="110"/>
        <v>13254.40067</v>
      </c>
      <c r="J311" s="8">
        <f t="shared" si="110"/>
        <v>12586.90235</v>
      </c>
      <c r="K311" s="8">
        <f t="shared" si="110"/>
        <v>3600.075718</v>
      </c>
      <c r="L311" s="8">
        <f t="shared" si="110"/>
        <v>57000.6</v>
      </c>
      <c r="M311" s="8">
        <f t="shared" si="110"/>
        <v>4.88</v>
      </c>
      <c r="O311" s="8">
        <f t="shared" ref="O311:P311" si="111">AVERAGE(O301:O310)</f>
        <v>11194.72832</v>
      </c>
      <c r="P311" s="8">
        <f t="shared" si="111"/>
        <v>340.252463</v>
      </c>
      <c r="R311" s="8">
        <f t="shared" ref="R311:S311" si="112">AVERAGE(R301:R310)</f>
        <v>11046.67357</v>
      </c>
      <c r="S311" s="8">
        <f t="shared" si="112"/>
        <v>145.4205341</v>
      </c>
    </row>
    <row r="312">
      <c r="C312" s="1">
        <v>200.0</v>
      </c>
      <c r="D312" s="1">
        <v>15.0</v>
      </c>
      <c r="E312" s="1">
        <v>0.0</v>
      </c>
      <c r="G312" s="1">
        <v>3895.63475274525</v>
      </c>
      <c r="H312" s="1">
        <v>45.609299659729</v>
      </c>
      <c r="I312" s="1">
        <v>6328.97787991625</v>
      </c>
      <c r="J312" s="1">
        <v>4890.72709951662</v>
      </c>
      <c r="K312" s="1">
        <v>3600.15100169181</v>
      </c>
      <c r="L312" s="1">
        <v>30727.0</v>
      </c>
      <c r="M312" s="1">
        <f t="shared" ref="M312:M321" si="113">TRUNC(100*(I312-J312)/I312,1)</f>
        <v>22.7</v>
      </c>
      <c r="O312" s="1">
        <v>3898.46777437108</v>
      </c>
      <c r="P312" s="1">
        <v>964.947885274887</v>
      </c>
      <c r="R312" s="1">
        <v>3866.47656311233</v>
      </c>
      <c r="S312" s="1">
        <v>233.231928586959</v>
      </c>
    </row>
    <row r="313">
      <c r="C313" s="1">
        <v>200.0</v>
      </c>
      <c r="D313" s="1">
        <v>15.0</v>
      </c>
      <c r="E313" s="1">
        <v>1.0</v>
      </c>
      <c r="G313" s="1">
        <v>3308.37827374853</v>
      </c>
      <c r="H313" s="1">
        <v>45.759497642517</v>
      </c>
      <c r="I313" s="1">
        <v>5870.80518677689</v>
      </c>
      <c r="J313" s="1">
        <v>4277.38235810167</v>
      </c>
      <c r="K313" s="1">
        <v>3600.13869333267</v>
      </c>
      <c r="L313" s="1">
        <v>30715.0</v>
      </c>
      <c r="M313" s="1">
        <f t="shared" si="113"/>
        <v>27.1</v>
      </c>
      <c r="O313" s="1">
        <v>3311.96053323191</v>
      </c>
      <c r="P313" s="1">
        <v>1027.31150269508</v>
      </c>
      <c r="R313" s="1">
        <v>3282.79223775428</v>
      </c>
      <c r="S313" s="1">
        <v>259.67260146141</v>
      </c>
    </row>
    <row r="314">
      <c r="C314" s="1">
        <v>200.0</v>
      </c>
      <c r="D314" s="1">
        <v>15.0</v>
      </c>
      <c r="E314" s="1">
        <v>2.0</v>
      </c>
      <c r="G314" s="1">
        <v>4155.52250241177</v>
      </c>
      <c r="H314" s="1">
        <v>45.8221089839935</v>
      </c>
      <c r="I314" s="1">
        <v>6880.04003469467</v>
      </c>
      <c r="J314" s="1">
        <v>5254.03488862435</v>
      </c>
      <c r="K314" s="1">
        <v>3600.09860229492</v>
      </c>
      <c r="L314" s="1">
        <v>30661.0</v>
      </c>
      <c r="M314" s="1">
        <f t="shared" si="113"/>
        <v>23.6</v>
      </c>
      <c r="O314" s="1">
        <v>4158.80279377412</v>
      </c>
      <c r="P314" s="1">
        <v>733.070874214172</v>
      </c>
      <c r="R314" s="1">
        <v>4140.53592104684</v>
      </c>
      <c r="S314" s="1">
        <v>254.932322740554</v>
      </c>
    </row>
    <row r="315">
      <c r="C315" s="1">
        <v>200.0</v>
      </c>
      <c r="D315" s="1">
        <v>15.0</v>
      </c>
      <c r="E315" s="1">
        <v>3.0</v>
      </c>
      <c r="G315" s="1">
        <v>4478.8338936917</v>
      </c>
      <c r="H315" s="1">
        <v>45.7734196186065</v>
      </c>
      <c r="I315" s="1">
        <v>7268.42987695388</v>
      </c>
      <c r="J315" s="1">
        <v>5559.83185793039</v>
      </c>
      <c r="K315" s="1">
        <v>3600.04017877578</v>
      </c>
      <c r="L315" s="1">
        <v>30605.0</v>
      </c>
      <c r="M315" s="1">
        <f t="shared" si="113"/>
        <v>23.5</v>
      </c>
      <c r="O315" s="1">
        <v>4482.05103551346</v>
      </c>
      <c r="P315" s="1">
        <v>780.245731353759</v>
      </c>
      <c r="R315" s="1">
        <v>4452.12529763968</v>
      </c>
      <c r="S315" s="1">
        <v>232.379683494567</v>
      </c>
    </row>
    <row r="316">
      <c r="C316" s="1">
        <v>200.0</v>
      </c>
      <c r="D316" s="1">
        <v>15.0</v>
      </c>
      <c r="E316" s="1">
        <v>4.0</v>
      </c>
      <c r="G316" s="1">
        <v>4499.91727726047</v>
      </c>
      <c r="H316" s="1">
        <v>45.9634141921997</v>
      </c>
      <c r="I316" s="1">
        <v>7245.39608761613</v>
      </c>
      <c r="J316" s="1">
        <v>5609.61948167118</v>
      </c>
      <c r="K316" s="1">
        <v>3600.10590982437</v>
      </c>
      <c r="L316" s="1">
        <v>30677.0</v>
      </c>
      <c r="M316" s="1">
        <f t="shared" si="113"/>
        <v>22.5</v>
      </c>
      <c r="O316" s="1">
        <v>4503.47429675875</v>
      </c>
      <c r="P316" s="1">
        <v>840.884590625762</v>
      </c>
      <c r="R316" s="1">
        <v>4474.26957681769</v>
      </c>
      <c r="S316" s="1">
        <v>251.431885719299</v>
      </c>
    </row>
    <row r="317">
      <c r="C317" s="1">
        <v>200.0</v>
      </c>
      <c r="D317" s="1">
        <v>15.0</v>
      </c>
      <c r="E317" s="1">
        <v>5.0</v>
      </c>
      <c r="G317" s="1">
        <v>3086.47657357846</v>
      </c>
      <c r="H317" s="1">
        <v>46.0543415546417</v>
      </c>
      <c r="I317" s="1">
        <v>5902.25209829416</v>
      </c>
      <c r="J317" s="1">
        <v>4209.52862885946</v>
      </c>
      <c r="K317" s="1">
        <v>3600.19464707374</v>
      </c>
      <c r="L317" s="1">
        <v>30705.0</v>
      </c>
      <c r="M317" s="1">
        <f t="shared" si="113"/>
        <v>28.6</v>
      </c>
      <c r="O317" s="1">
        <v>3089.99545450574</v>
      </c>
      <c r="P317" s="1">
        <v>855.982787370681</v>
      </c>
      <c r="R317" s="1">
        <v>3044.28623818294</v>
      </c>
      <c r="S317" s="1">
        <v>243.029424428939</v>
      </c>
    </row>
    <row r="318">
      <c r="C318" s="1">
        <v>200.0</v>
      </c>
      <c r="D318" s="1">
        <v>15.0</v>
      </c>
      <c r="E318" s="1">
        <v>6.0</v>
      </c>
      <c r="G318" s="1">
        <v>4209.66027977634</v>
      </c>
      <c r="H318" s="1">
        <v>45.9952306747436</v>
      </c>
      <c r="I318" s="1">
        <v>7013.77936101562</v>
      </c>
      <c r="J318" s="1">
        <v>5265.72456997651</v>
      </c>
      <c r="K318" s="1">
        <v>3600.02597951889</v>
      </c>
      <c r="L318" s="1">
        <v>30585.0</v>
      </c>
      <c r="M318" s="1">
        <f t="shared" si="113"/>
        <v>24.9</v>
      </c>
      <c r="O318" s="1">
        <v>4212.99974906868</v>
      </c>
      <c r="P318" s="1">
        <v>1119.12980985641</v>
      </c>
      <c r="R318" s="1">
        <v>4182.09117250515</v>
      </c>
      <c r="S318" s="1">
        <v>264.504814863204</v>
      </c>
    </row>
    <row r="319">
      <c r="C319" s="1">
        <v>200.0</v>
      </c>
      <c r="D319" s="1">
        <v>15.0</v>
      </c>
      <c r="E319" s="1">
        <v>7.0</v>
      </c>
      <c r="G319" s="1">
        <v>3137.82977213761</v>
      </c>
      <c r="H319" s="1">
        <v>46.1935548782348</v>
      </c>
      <c r="I319" s="1">
        <v>5436.58729760475</v>
      </c>
      <c r="J319" s="1">
        <v>4101.8258361027</v>
      </c>
      <c r="K319" s="1">
        <v>3600.10309267044</v>
      </c>
      <c r="L319" s="1">
        <v>30621.0</v>
      </c>
      <c r="M319" s="1">
        <f t="shared" si="113"/>
        <v>24.5</v>
      </c>
      <c r="O319" s="1">
        <v>3140.90929265076</v>
      </c>
      <c r="P319" s="1">
        <v>862.052922964096</v>
      </c>
      <c r="R319" s="1">
        <v>3116.45260738682</v>
      </c>
      <c r="S319" s="1">
        <v>234.316995859146</v>
      </c>
    </row>
    <row r="320">
      <c r="C320" s="1">
        <v>200.0</v>
      </c>
      <c r="D320" s="1">
        <v>15.0</v>
      </c>
      <c r="E320" s="1">
        <v>8.0</v>
      </c>
      <c r="G320" s="1">
        <v>3992.63252279559</v>
      </c>
      <c r="H320" s="1">
        <v>46.0824308395385</v>
      </c>
      <c r="I320" s="1">
        <v>6562.84286907134</v>
      </c>
      <c r="J320" s="1">
        <v>5029.71338115287</v>
      </c>
      <c r="K320" s="1">
        <v>3600.15799045562</v>
      </c>
      <c r="L320" s="1">
        <v>30563.0</v>
      </c>
      <c r="M320" s="1">
        <f t="shared" si="113"/>
        <v>23.3</v>
      </c>
      <c r="O320" s="1">
        <v>3996.11420069299</v>
      </c>
      <c r="P320" s="1">
        <v>763.987787723541</v>
      </c>
      <c r="R320" s="1">
        <v>3963.77638010662</v>
      </c>
      <c r="S320" s="1">
        <v>243.024951219558</v>
      </c>
    </row>
    <row r="321">
      <c r="C321" s="1">
        <v>200.0</v>
      </c>
      <c r="D321" s="1">
        <v>15.0</v>
      </c>
      <c r="E321" s="1">
        <v>9.0</v>
      </c>
      <c r="G321" s="1">
        <v>4316.5478629711</v>
      </c>
      <c r="H321" s="1">
        <v>46.085551738739</v>
      </c>
      <c r="I321" s="1">
        <v>6894.75778590953</v>
      </c>
      <c r="J321" s="1">
        <v>5378.32607092235</v>
      </c>
      <c r="K321" s="1">
        <v>3600.23180770874</v>
      </c>
      <c r="L321" s="1">
        <v>30537.0</v>
      </c>
      <c r="M321" s="1">
        <f t="shared" si="113"/>
        <v>21.9</v>
      </c>
      <c r="O321" s="1">
        <v>4319.89217866995</v>
      </c>
      <c r="P321" s="1">
        <v>1060.70969939231</v>
      </c>
      <c r="R321" s="1">
        <v>4294.50556817778</v>
      </c>
      <c r="S321" s="1">
        <v>249.646476745605</v>
      </c>
    </row>
    <row r="322">
      <c r="C322" s="1"/>
      <c r="D322" s="1"/>
      <c r="E322" s="1"/>
      <c r="G322" s="8">
        <f t="shared" ref="G322:M322" si="114">AVERAGE(G312:G321)</f>
        <v>3908.143371</v>
      </c>
      <c r="H322" s="8">
        <f t="shared" si="114"/>
        <v>45.93388498</v>
      </c>
      <c r="I322" s="8">
        <f t="shared" si="114"/>
        <v>6540.386848</v>
      </c>
      <c r="J322" s="8">
        <f t="shared" si="114"/>
        <v>4957.671417</v>
      </c>
      <c r="K322" s="8">
        <f t="shared" si="114"/>
        <v>3600.12479</v>
      </c>
      <c r="L322" s="8">
        <f t="shared" si="114"/>
        <v>30639.6</v>
      </c>
      <c r="M322" s="8">
        <f t="shared" si="114"/>
        <v>24.26</v>
      </c>
      <c r="O322" s="8">
        <f t="shared" ref="O322:P322" si="115">AVERAGE(O312:O321)</f>
        <v>3911.466731</v>
      </c>
      <c r="P322" s="8">
        <f t="shared" si="115"/>
        <v>900.8323591</v>
      </c>
      <c r="R322" s="8">
        <f t="shared" ref="R322:S322" si="116">AVERAGE(R312:R321)</f>
        <v>3881.731156</v>
      </c>
      <c r="S322" s="8">
        <f t="shared" si="116"/>
        <v>246.6171085</v>
      </c>
    </row>
    <row r="323">
      <c r="C323" s="1">
        <v>200.0</v>
      </c>
      <c r="D323" s="1">
        <v>20.0</v>
      </c>
      <c r="E323" s="1">
        <v>0.0</v>
      </c>
      <c r="G323" s="1">
        <v>5333.31673167691</v>
      </c>
      <c r="H323" s="1">
        <v>46.3007018566131</v>
      </c>
      <c r="I323" s="1">
        <v>7821.26462620508</v>
      </c>
      <c r="J323" s="1">
        <v>6515.07713952484</v>
      </c>
      <c r="K323" s="1">
        <v>3600.07705783844</v>
      </c>
      <c r="L323" s="1">
        <v>30563.0</v>
      </c>
      <c r="M323" s="1">
        <f t="shared" ref="M323:M332" si="117">TRUNC(100*(I323-J323)/I323,1)</f>
        <v>16.7</v>
      </c>
      <c r="O323" s="1">
        <v>5338.11234481474</v>
      </c>
      <c r="P323" s="1">
        <v>1120.40558815002</v>
      </c>
      <c r="R323" s="1">
        <v>5296.09663365115</v>
      </c>
      <c r="S323" s="1">
        <v>330.538494586944</v>
      </c>
    </row>
    <row r="324">
      <c r="C324" s="1">
        <v>200.0</v>
      </c>
      <c r="D324" s="1">
        <v>20.0</v>
      </c>
      <c r="E324" s="1">
        <v>1.0</v>
      </c>
      <c r="G324" s="1">
        <v>4541.3216212125</v>
      </c>
      <c r="H324" s="1">
        <v>46.3056318759918</v>
      </c>
      <c r="I324" s="1">
        <v>7173.49054946715</v>
      </c>
      <c r="J324" s="1">
        <v>5640.2608748149</v>
      </c>
      <c r="K324" s="1">
        <v>3600.12360119819</v>
      </c>
      <c r="L324" s="1">
        <v>30447.0</v>
      </c>
      <c r="M324" s="1">
        <f t="shared" si="117"/>
        <v>21.3</v>
      </c>
      <c r="O324" s="1">
        <v>4546.37173416337</v>
      </c>
      <c r="P324" s="1">
        <v>865.56219625473</v>
      </c>
      <c r="R324" s="1">
        <v>4502.13287577731</v>
      </c>
      <c r="S324" s="1">
        <v>316.402429103851</v>
      </c>
    </row>
    <row r="325">
      <c r="C325" s="1">
        <v>200.0</v>
      </c>
      <c r="D325" s="1">
        <v>20.0</v>
      </c>
      <c r="E325" s="1">
        <v>2.0</v>
      </c>
      <c r="G325" s="1">
        <v>5676.77549478004</v>
      </c>
      <c r="H325" s="1">
        <v>46.202962398529</v>
      </c>
      <c r="I325" s="1">
        <v>8710.31667914026</v>
      </c>
      <c r="J325" s="1">
        <v>6984.99556150719</v>
      </c>
      <c r="K325" s="1">
        <v>3600.05171132087</v>
      </c>
      <c r="L325" s="1">
        <v>30567.0</v>
      </c>
      <c r="M325" s="1">
        <f t="shared" si="117"/>
        <v>19.8</v>
      </c>
      <c r="O325" s="1">
        <v>5681.45103796062</v>
      </c>
      <c r="P325" s="1">
        <v>833.48687839508</v>
      </c>
      <c r="R325" s="1">
        <v>5651.76834210958</v>
      </c>
      <c r="S325" s="1">
        <v>295.732368469238</v>
      </c>
    </row>
    <row r="326">
      <c r="C326" s="1">
        <v>200.0</v>
      </c>
      <c r="D326" s="1">
        <v>20.0</v>
      </c>
      <c r="E326" s="1">
        <v>3.0</v>
      </c>
      <c r="G326" s="1">
        <v>6108.3178653785</v>
      </c>
      <c r="H326" s="1">
        <v>46.4687311649322</v>
      </c>
      <c r="I326" s="1">
        <v>9088.34994184345</v>
      </c>
      <c r="J326" s="1">
        <v>7399.39799110563</v>
      </c>
      <c r="K326" s="1">
        <v>3600.2042980194</v>
      </c>
      <c r="L326" s="1">
        <v>30511.0</v>
      </c>
      <c r="M326" s="1">
        <f t="shared" si="117"/>
        <v>18.5</v>
      </c>
      <c r="O326" s="1">
        <v>6112.74899429594</v>
      </c>
      <c r="P326" s="1">
        <v>778.447739839553</v>
      </c>
      <c r="R326" s="1">
        <v>6061.06071535643</v>
      </c>
      <c r="S326" s="1">
        <v>308.474136590957</v>
      </c>
    </row>
    <row r="327">
      <c r="C327" s="1">
        <v>200.0</v>
      </c>
      <c r="D327" s="1">
        <v>20.0</v>
      </c>
      <c r="E327" s="1">
        <v>4.0</v>
      </c>
      <c r="G327" s="1">
        <v>6154.69789605313</v>
      </c>
      <c r="H327" s="1">
        <v>46.3907926082611</v>
      </c>
      <c r="I327" s="1">
        <v>9186.4369029237</v>
      </c>
      <c r="J327" s="1">
        <v>7418.45463084759</v>
      </c>
      <c r="K327" s="1">
        <v>3600.05316662788</v>
      </c>
      <c r="L327" s="1">
        <v>30471.0</v>
      </c>
      <c r="M327" s="1">
        <f t="shared" si="117"/>
        <v>19.2</v>
      </c>
      <c r="O327" s="1">
        <v>6159.5804792596</v>
      </c>
      <c r="P327" s="1">
        <v>738.675173282623</v>
      </c>
      <c r="R327" s="1">
        <v>6095.44926455092</v>
      </c>
      <c r="S327" s="1">
        <v>283.236145257949</v>
      </c>
    </row>
    <row r="328">
      <c r="C328" s="1">
        <v>200.0</v>
      </c>
      <c r="D328" s="1">
        <v>20.0</v>
      </c>
      <c r="E328" s="1">
        <v>5.0</v>
      </c>
      <c r="G328" s="1">
        <v>4189.57571238302</v>
      </c>
      <c r="H328" s="1">
        <v>46.415195941925</v>
      </c>
      <c r="I328" s="1">
        <v>7477.33236276007</v>
      </c>
      <c r="J328" s="1">
        <v>5515.05890905232</v>
      </c>
      <c r="K328" s="1">
        <v>3600.10052943229</v>
      </c>
      <c r="L328" s="1">
        <v>30465.0</v>
      </c>
      <c r="M328" s="1">
        <f t="shared" si="117"/>
        <v>26.2</v>
      </c>
      <c r="O328" s="1">
        <v>4193.771003467</v>
      </c>
      <c r="P328" s="1">
        <v>757.224386453628</v>
      </c>
      <c r="R328" s="1">
        <v>4133.64930215829</v>
      </c>
      <c r="S328" s="1">
        <v>298.212678432464</v>
      </c>
    </row>
    <row r="329">
      <c r="C329" s="1">
        <v>200.0</v>
      </c>
      <c r="D329" s="1">
        <v>20.0</v>
      </c>
      <c r="E329" s="1">
        <v>6.0</v>
      </c>
      <c r="G329" s="1">
        <v>5778.32776330802</v>
      </c>
      <c r="H329" s="1">
        <v>46.3576951026916</v>
      </c>
      <c r="I329" s="1">
        <v>8831.9998411617</v>
      </c>
      <c r="J329" s="1">
        <v>6987.32918772659</v>
      </c>
      <c r="K329" s="1">
        <v>3600.83188462257</v>
      </c>
      <c r="L329" s="1">
        <v>30421.0</v>
      </c>
      <c r="M329" s="1">
        <f t="shared" si="117"/>
        <v>20.8</v>
      </c>
      <c r="O329" s="1">
        <v>5782.91503762053</v>
      </c>
      <c r="P329" s="1">
        <v>932.816283226013</v>
      </c>
      <c r="R329" s="1">
        <v>5728.03375592138</v>
      </c>
      <c r="S329" s="1">
        <v>352.003403425216</v>
      </c>
    </row>
    <row r="330">
      <c r="C330" s="1">
        <v>200.0</v>
      </c>
      <c r="D330" s="1">
        <v>20.0</v>
      </c>
      <c r="E330" s="1">
        <v>7.0</v>
      </c>
      <c r="G330" s="1">
        <v>4276.6865985269</v>
      </c>
      <c r="H330" s="1">
        <v>46.1924922466278</v>
      </c>
      <c r="I330" s="1">
        <v>6693.65931858001</v>
      </c>
      <c r="J330" s="1">
        <v>5384.77018381079</v>
      </c>
      <c r="K330" s="1">
        <v>3600.06679749488</v>
      </c>
      <c r="L330" s="1">
        <v>30489.0</v>
      </c>
      <c r="M330" s="1">
        <f t="shared" si="117"/>
        <v>19.5</v>
      </c>
      <c r="O330" s="1">
        <v>4280.91208532208</v>
      </c>
      <c r="P330" s="1">
        <v>713.563217163085</v>
      </c>
      <c r="R330" s="1">
        <v>4226.78010153603</v>
      </c>
      <c r="S330" s="1">
        <v>290.483435392379</v>
      </c>
    </row>
    <row r="331">
      <c r="C331" s="1">
        <v>200.0</v>
      </c>
      <c r="D331" s="1">
        <v>20.0</v>
      </c>
      <c r="E331" s="1">
        <v>8.0</v>
      </c>
      <c r="G331" s="1">
        <v>5474.45540826719</v>
      </c>
      <c r="H331" s="1">
        <v>46.2988457679748</v>
      </c>
      <c r="I331" s="1">
        <v>8250.6637688912</v>
      </c>
      <c r="J331" s="1">
        <v>6658.16548313994</v>
      </c>
      <c r="K331" s="1">
        <v>3600.00690698623</v>
      </c>
      <c r="L331" s="1">
        <v>30619.0</v>
      </c>
      <c r="M331" s="1">
        <f t="shared" si="117"/>
        <v>19.3</v>
      </c>
      <c r="O331" s="1">
        <v>5479.07698612134</v>
      </c>
      <c r="P331" s="1">
        <v>1045.65073537826</v>
      </c>
      <c r="R331" s="1">
        <v>5424.24661654485</v>
      </c>
      <c r="S331" s="1">
        <v>292.255580186843</v>
      </c>
    </row>
    <row r="332">
      <c r="C332" s="1">
        <v>200.0</v>
      </c>
      <c r="D332" s="1">
        <v>20.0</v>
      </c>
      <c r="E332" s="1">
        <v>9.0</v>
      </c>
      <c r="G332" s="1">
        <v>5873.57809729244</v>
      </c>
      <c r="H332" s="1">
        <v>46.2059016227722</v>
      </c>
      <c r="I332" s="1">
        <v>8860.73550766619</v>
      </c>
      <c r="J332" s="1">
        <v>7145.3599575203</v>
      </c>
      <c r="K332" s="1">
        <v>3600.17399144172</v>
      </c>
      <c r="L332" s="1">
        <v>30569.0</v>
      </c>
      <c r="M332" s="1">
        <f t="shared" si="117"/>
        <v>19.3</v>
      </c>
      <c r="O332" s="1">
        <v>5877.95396757675</v>
      </c>
      <c r="P332" s="1">
        <v>733.440608263015</v>
      </c>
      <c r="R332" s="1">
        <v>5812.13786618392</v>
      </c>
      <c r="S332" s="1">
        <v>284.316229581832</v>
      </c>
    </row>
    <row r="333">
      <c r="C333" s="1"/>
      <c r="D333" s="1"/>
      <c r="E333" s="1"/>
      <c r="G333" s="8">
        <f t="shared" ref="G333:M333" si="118">AVERAGE(G323:G332)</f>
        <v>5340.705319</v>
      </c>
      <c r="H333" s="8">
        <f t="shared" si="118"/>
        <v>46.31389506</v>
      </c>
      <c r="I333" s="8">
        <f t="shared" si="118"/>
        <v>8209.42495</v>
      </c>
      <c r="J333" s="8">
        <f t="shared" si="118"/>
        <v>6564.886992</v>
      </c>
      <c r="K333" s="8">
        <f t="shared" si="118"/>
        <v>3600.168994</v>
      </c>
      <c r="L333" s="8">
        <f t="shared" si="118"/>
        <v>30512.2</v>
      </c>
      <c r="M333" s="8">
        <f t="shared" si="118"/>
        <v>20.06</v>
      </c>
      <c r="O333" s="8">
        <f t="shared" ref="O333:P333" si="119">AVERAGE(O323:O332)</f>
        <v>5345.289367</v>
      </c>
      <c r="P333" s="8">
        <f t="shared" si="119"/>
        <v>851.9272806</v>
      </c>
      <c r="R333" s="8">
        <f t="shared" ref="R333:S333" si="120">AVERAGE(R323:R332)</f>
        <v>5293.135547</v>
      </c>
      <c r="S333" s="8">
        <f t="shared" si="120"/>
        <v>305.1654901</v>
      </c>
    </row>
    <row r="334">
      <c r="C334" s="1">
        <v>200.0</v>
      </c>
      <c r="D334" s="1">
        <v>25.0</v>
      </c>
      <c r="E334" s="1">
        <v>0.0</v>
      </c>
      <c r="G334" s="1">
        <v>7492.38836987372</v>
      </c>
      <c r="H334" s="1">
        <v>46.3864316940307</v>
      </c>
      <c r="I334" s="1">
        <v>9800.29632093864</v>
      </c>
      <c r="J334" s="1">
        <v>8831.15610912761</v>
      </c>
      <c r="K334" s="1">
        <v>3600.07128739357</v>
      </c>
      <c r="L334" s="1">
        <v>30347.0</v>
      </c>
      <c r="M334" s="1">
        <f t="shared" ref="M334:M343" si="121">TRUNC(100*(I334-J334)/I334,1)</f>
        <v>9.8</v>
      </c>
      <c r="O334" s="1">
        <v>7498.47204945332</v>
      </c>
      <c r="P334" s="1">
        <v>959.510345220565</v>
      </c>
      <c r="R334" s="1">
        <v>7430.03601071603</v>
      </c>
      <c r="S334" s="1">
        <v>316.565009355545</v>
      </c>
    </row>
    <row r="335">
      <c r="C335" s="1">
        <v>200.0</v>
      </c>
      <c r="D335" s="1">
        <v>25.0</v>
      </c>
      <c r="E335" s="1">
        <v>1.0</v>
      </c>
      <c r="G335" s="1">
        <v>6498.98542332699</v>
      </c>
      <c r="H335" s="1">
        <v>46.2230701446533</v>
      </c>
      <c r="I335" s="1">
        <v>8955.09279900527</v>
      </c>
      <c r="J335" s="1">
        <v>7621.13035719661</v>
      </c>
      <c r="K335" s="1">
        <v>3600.1441874504</v>
      </c>
      <c r="L335" s="1">
        <v>30409.0</v>
      </c>
      <c r="M335" s="1">
        <f t="shared" si="121"/>
        <v>14.8</v>
      </c>
      <c r="O335" s="1">
        <v>6505.17107166617</v>
      </c>
      <c r="P335" s="1">
        <v>943.236738443374</v>
      </c>
      <c r="R335" s="1">
        <v>6426.89761647859</v>
      </c>
      <c r="S335" s="1">
        <v>337.284650564193</v>
      </c>
    </row>
    <row r="336">
      <c r="C336" s="1">
        <v>200.0</v>
      </c>
      <c r="D336" s="1">
        <v>25.0</v>
      </c>
      <c r="E336" s="1">
        <v>2.0</v>
      </c>
      <c r="G336" s="1">
        <v>7977.42761659019</v>
      </c>
      <c r="H336" s="1">
        <v>46.2501819133758</v>
      </c>
      <c r="I336" s="1">
        <v>11220.3523681339</v>
      </c>
      <c r="J336" s="1">
        <v>9449.62948445634</v>
      </c>
      <c r="K336" s="1">
        <v>3600.1170117855</v>
      </c>
      <c r="L336" s="1">
        <v>30451.0</v>
      </c>
      <c r="M336" s="1">
        <f t="shared" si="121"/>
        <v>15.7</v>
      </c>
      <c r="O336" s="1">
        <v>7983.80252478247</v>
      </c>
      <c r="P336" s="1">
        <v>829.316331624984</v>
      </c>
      <c r="R336" s="1">
        <v>7920.90101782498</v>
      </c>
      <c r="S336" s="1">
        <v>318.730406045913</v>
      </c>
    </row>
    <row r="337">
      <c r="C337" s="1">
        <v>200.0</v>
      </c>
      <c r="D337" s="1">
        <v>25.0</v>
      </c>
      <c r="E337" s="1">
        <v>3.0</v>
      </c>
      <c r="G337" s="1">
        <v>8474.74853411487</v>
      </c>
      <c r="H337" s="1">
        <v>46.3082683086395</v>
      </c>
      <c r="I337" s="1">
        <v>11641.0980750868</v>
      </c>
      <c r="J337" s="1">
        <v>9851.5883030521</v>
      </c>
      <c r="K337" s="1">
        <v>3600.18790102005</v>
      </c>
      <c r="L337" s="1">
        <v>30663.0</v>
      </c>
      <c r="M337" s="1">
        <f t="shared" si="121"/>
        <v>15.3</v>
      </c>
      <c r="O337" s="1">
        <v>8480.95436104161</v>
      </c>
      <c r="P337" s="1">
        <v>809.639448881149</v>
      </c>
      <c r="R337" s="1">
        <v>8378.34980626422</v>
      </c>
      <c r="S337" s="1">
        <v>319.252011299133</v>
      </c>
    </row>
    <row r="338">
      <c r="C338" s="1">
        <v>200.0</v>
      </c>
      <c r="D338" s="1">
        <v>25.0</v>
      </c>
      <c r="E338" s="1">
        <v>4.0</v>
      </c>
      <c r="G338" s="1">
        <v>8501.49511235623</v>
      </c>
      <c r="H338" s="1">
        <v>46.2765247821807</v>
      </c>
      <c r="I338" s="1">
        <v>11871.376892318</v>
      </c>
      <c r="J338" s="1">
        <v>9892.5941276323</v>
      </c>
      <c r="K338" s="1">
        <v>3600.1524169445</v>
      </c>
      <c r="L338" s="1">
        <v>30617.0</v>
      </c>
      <c r="M338" s="1">
        <f t="shared" si="121"/>
        <v>16.6</v>
      </c>
      <c r="O338" s="1">
        <v>8507.45817190288</v>
      </c>
      <c r="P338" s="1">
        <v>680.578272104263</v>
      </c>
      <c r="R338" s="1">
        <v>8412.64230730717</v>
      </c>
      <c r="S338" s="1">
        <v>325.552103519439</v>
      </c>
    </row>
    <row r="339">
      <c r="C339" s="1">
        <v>200.0</v>
      </c>
      <c r="D339" s="1">
        <v>25.0</v>
      </c>
      <c r="E339" s="1">
        <v>5.0</v>
      </c>
      <c r="G339" s="1">
        <v>6024.48734892793</v>
      </c>
      <c r="H339" s="1">
        <v>46.4012410640716</v>
      </c>
      <c r="I339" s="1">
        <v>9310.31198537317</v>
      </c>
      <c r="J339" s="1">
        <v>7410.80688460523</v>
      </c>
      <c r="K339" s="1">
        <v>3600.05248308181</v>
      </c>
      <c r="L339" s="1">
        <v>30689.0</v>
      </c>
      <c r="M339" s="1">
        <f t="shared" si="121"/>
        <v>20.4</v>
      </c>
      <c r="O339" s="1">
        <v>6029.97069369181</v>
      </c>
      <c r="P339" s="1">
        <v>960.466214179992</v>
      </c>
      <c r="R339" s="1">
        <v>5907.06262450809</v>
      </c>
      <c r="S339" s="1">
        <v>328.484189033508</v>
      </c>
    </row>
    <row r="340">
      <c r="C340" s="1">
        <v>200.0</v>
      </c>
      <c r="D340" s="1">
        <v>25.0</v>
      </c>
      <c r="E340" s="1">
        <v>6.0</v>
      </c>
      <c r="G340" s="1">
        <v>8073.34074633567</v>
      </c>
      <c r="H340" s="1">
        <v>46.3995940685272</v>
      </c>
      <c r="I340" s="1">
        <v>11103.792553581</v>
      </c>
      <c r="J340" s="1">
        <v>9352.78373222192</v>
      </c>
      <c r="K340" s="1">
        <v>3600.11546111106</v>
      </c>
      <c r="L340" s="1">
        <v>30577.0</v>
      </c>
      <c r="M340" s="1">
        <f t="shared" si="121"/>
        <v>15.7</v>
      </c>
      <c r="O340" s="1">
        <v>8080.13841196784</v>
      </c>
      <c r="P340" s="1">
        <v>920.469841957092</v>
      </c>
      <c r="R340" s="1">
        <v>7978.54385803308</v>
      </c>
      <c r="S340" s="1">
        <v>332.912818670272</v>
      </c>
    </row>
    <row r="341">
      <c r="C341" s="1">
        <v>200.0</v>
      </c>
      <c r="D341" s="1">
        <v>25.0</v>
      </c>
      <c r="E341" s="1">
        <v>7.0</v>
      </c>
      <c r="G341" s="1">
        <v>6094.16233469234</v>
      </c>
      <c r="H341" s="1">
        <v>46.4341795444488</v>
      </c>
      <c r="I341" s="1">
        <v>8464.61055838775</v>
      </c>
      <c r="J341" s="1">
        <v>7326.04083638026</v>
      </c>
      <c r="K341" s="1">
        <v>3600.05632185935</v>
      </c>
      <c r="L341" s="1">
        <v>30445.0</v>
      </c>
      <c r="M341" s="1">
        <f t="shared" si="121"/>
        <v>13.4</v>
      </c>
      <c r="O341" s="1">
        <v>6099.49374901824</v>
      </c>
      <c r="P341" s="1">
        <v>861.174937725067</v>
      </c>
      <c r="R341" s="1">
        <v>5993.01883493689</v>
      </c>
      <c r="S341" s="1">
        <v>309.722519874572</v>
      </c>
    </row>
    <row r="342">
      <c r="C342" s="1">
        <v>200.0</v>
      </c>
      <c r="D342" s="1">
        <v>25.0</v>
      </c>
      <c r="E342" s="1">
        <v>8.0</v>
      </c>
      <c r="G342" s="1">
        <v>7687.17704733028</v>
      </c>
      <c r="H342" s="1">
        <v>46.5991103649139</v>
      </c>
      <c r="I342" s="1">
        <v>10337.3852569894</v>
      </c>
      <c r="J342" s="1">
        <v>9029.98122337826</v>
      </c>
      <c r="K342" s="1">
        <v>3600.02675914764</v>
      </c>
      <c r="L342" s="1">
        <v>30253.0</v>
      </c>
      <c r="M342" s="1">
        <f t="shared" si="121"/>
        <v>12.6</v>
      </c>
      <c r="O342" s="1">
        <v>7693.2757731063</v>
      </c>
      <c r="P342" s="1">
        <v>843.109409332275</v>
      </c>
      <c r="R342" s="1">
        <v>7611.49026110023</v>
      </c>
      <c r="S342" s="1">
        <v>331.136887550354</v>
      </c>
    </row>
    <row r="343">
      <c r="C343" s="1">
        <v>200.0</v>
      </c>
      <c r="D343" s="1">
        <v>25.0</v>
      </c>
      <c r="E343" s="1">
        <v>9.0</v>
      </c>
      <c r="G343" s="1">
        <v>8099.98488981815</v>
      </c>
      <c r="H343" s="1">
        <v>46.7159521579742</v>
      </c>
      <c r="I343" s="1">
        <v>11400.8485576389</v>
      </c>
      <c r="J343" s="1">
        <v>9470.02134443265</v>
      </c>
      <c r="K343" s="1">
        <v>3600.13997626304</v>
      </c>
      <c r="L343" s="1">
        <v>30591.0</v>
      </c>
      <c r="M343" s="1">
        <f t="shared" si="121"/>
        <v>16.9</v>
      </c>
      <c r="O343" s="1">
        <v>8105.54432272397</v>
      </c>
      <c r="P343" s="1">
        <v>880.42584657669</v>
      </c>
      <c r="R343" s="1">
        <v>8015.99952445843</v>
      </c>
      <c r="S343" s="1">
        <v>297.121002912521</v>
      </c>
    </row>
    <row r="344">
      <c r="G344" s="8">
        <f t="shared" ref="G344:M344" si="122">AVERAGE(G334:G343)</f>
        <v>7492.419742</v>
      </c>
      <c r="H344" s="8">
        <f t="shared" si="122"/>
        <v>46.3994554</v>
      </c>
      <c r="I344" s="8">
        <f t="shared" si="122"/>
        <v>10410.51654</v>
      </c>
      <c r="J344" s="8">
        <f t="shared" si="122"/>
        <v>8823.57324</v>
      </c>
      <c r="K344" s="8">
        <f t="shared" si="122"/>
        <v>3600.106381</v>
      </c>
      <c r="L344" s="8">
        <f t="shared" si="122"/>
        <v>30504.2</v>
      </c>
      <c r="M344" s="8">
        <f t="shared" si="122"/>
        <v>15.12</v>
      </c>
      <c r="O344" s="8">
        <f t="shared" ref="O344:P344" si="123">AVERAGE(O334:O343)</f>
        <v>7498.428113</v>
      </c>
      <c r="P344" s="8">
        <f t="shared" si="123"/>
        <v>868.7927386</v>
      </c>
      <c r="R344" s="8">
        <f t="shared" ref="R344:S344" si="124">AVERAGE(R334:R343)</f>
        <v>7407.494186</v>
      </c>
      <c r="S344" s="8">
        <f t="shared" si="124"/>
        <v>321.6761599</v>
      </c>
    </row>
    <row r="345">
      <c r="C345" s="1">
        <v>200.0</v>
      </c>
      <c r="D345" s="1">
        <v>30.0</v>
      </c>
      <c r="E345" s="1">
        <v>0.0</v>
      </c>
      <c r="F345" s="1"/>
      <c r="G345" s="1">
        <v>10427.5830708964</v>
      </c>
      <c r="H345" s="1">
        <v>46.6124544143676</v>
      </c>
      <c r="I345" s="1">
        <v>12516.8137328588</v>
      </c>
      <c r="J345" s="1">
        <v>11874.053722724</v>
      </c>
      <c r="K345" s="1">
        <v>3600.19667935371</v>
      </c>
      <c r="L345" s="1">
        <v>30107.0</v>
      </c>
      <c r="M345" s="1">
        <f t="shared" ref="M345:M354" si="125">TRUNC(100*(I345-J345)/I345,1)</f>
        <v>5.1</v>
      </c>
      <c r="O345" s="1">
        <v>10435.4911941326</v>
      </c>
      <c r="P345" s="1">
        <v>1135.9198679924</v>
      </c>
      <c r="R345" s="1">
        <v>10327.389238602</v>
      </c>
      <c r="S345" s="1">
        <v>381.371422767639</v>
      </c>
    </row>
    <row r="346">
      <c r="C346" s="1">
        <v>200.0</v>
      </c>
      <c r="D346" s="1">
        <v>30.0</v>
      </c>
      <c r="E346" s="1">
        <v>1.0</v>
      </c>
      <c r="F346" s="1"/>
      <c r="G346" s="1">
        <v>9158.54257566301</v>
      </c>
      <c r="H346" s="1">
        <v>46.9096837043762</v>
      </c>
      <c r="I346" s="1">
        <v>11431.6757433175</v>
      </c>
      <c r="J346" s="1">
        <v>10253.7177150093</v>
      </c>
      <c r="K346" s="1">
        <v>3600.020581007</v>
      </c>
      <c r="L346" s="1">
        <v>29797.0</v>
      </c>
      <c r="M346" s="1">
        <f t="shared" si="125"/>
        <v>10.3</v>
      </c>
      <c r="O346" s="1">
        <v>9166.17728569329</v>
      </c>
      <c r="P346" s="1">
        <v>825.076633691787</v>
      </c>
      <c r="R346" s="1">
        <v>9021.20106538584</v>
      </c>
      <c r="S346" s="1">
        <v>351.864461183548</v>
      </c>
    </row>
    <row r="347">
      <c r="C347" s="1">
        <v>200.0</v>
      </c>
      <c r="D347" s="1">
        <v>30.0</v>
      </c>
      <c r="E347" s="1">
        <v>2.0</v>
      </c>
      <c r="F347" s="1"/>
      <c r="G347" s="1">
        <v>11161.6357539134</v>
      </c>
      <c r="H347" s="1">
        <v>49.5711047649383</v>
      </c>
      <c r="I347" s="1">
        <v>14474.2306033876</v>
      </c>
      <c r="J347" s="1">
        <v>12737.2734602953</v>
      </c>
      <c r="K347" s="1">
        <v>3600.18299245834</v>
      </c>
      <c r="L347" s="1">
        <v>30137.0</v>
      </c>
      <c r="M347" s="1">
        <f t="shared" si="125"/>
        <v>12</v>
      </c>
      <c r="O347" s="1">
        <v>11168.526359658</v>
      </c>
      <c r="P347" s="1">
        <v>1128.48099136352</v>
      </c>
      <c r="R347" s="1">
        <v>11034.9957502627</v>
      </c>
      <c r="S347" s="1">
        <v>369.194907188415</v>
      </c>
    </row>
    <row r="348">
      <c r="C348" s="1">
        <v>200.0</v>
      </c>
      <c r="D348" s="1">
        <v>30.0</v>
      </c>
      <c r="E348" s="1">
        <v>3.0</v>
      </c>
      <c r="F348" s="1"/>
      <c r="G348" s="1">
        <v>11575.5162943051</v>
      </c>
      <c r="H348" s="1">
        <v>46.9128704071044</v>
      </c>
      <c r="I348" s="1">
        <v>14707.2703446751</v>
      </c>
      <c r="J348" s="1">
        <v>13024.9033534146</v>
      </c>
      <c r="K348" s="1">
        <v>3600.07229709625</v>
      </c>
      <c r="L348" s="1">
        <v>30167.0</v>
      </c>
      <c r="M348" s="1">
        <f t="shared" si="125"/>
        <v>11.4</v>
      </c>
      <c r="O348" s="1">
        <v>11583.450275819</v>
      </c>
      <c r="P348" s="1">
        <v>1134.69740033149</v>
      </c>
      <c r="R348" s="1">
        <v>11425.1508451232</v>
      </c>
      <c r="S348" s="1">
        <v>329.501799583435</v>
      </c>
    </row>
    <row r="349">
      <c r="C349" s="1">
        <v>200.0</v>
      </c>
      <c r="D349" s="1">
        <v>30.0</v>
      </c>
      <c r="E349" s="1">
        <v>4.0</v>
      </c>
      <c r="F349" s="1"/>
      <c r="G349" s="1">
        <v>11564.9052499444</v>
      </c>
      <c r="H349" s="1">
        <v>47.0400409698486</v>
      </c>
      <c r="I349" s="1">
        <v>14817.4644902934</v>
      </c>
      <c r="J349" s="1">
        <v>13032.9641511581</v>
      </c>
      <c r="K349" s="1">
        <v>3601.50220656394</v>
      </c>
      <c r="L349" s="1">
        <v>30281.0</v>
      </c>
      <c r="M349" s="1">
        <f t="shared" si="125"/>
        <v>12</v>
      </c>
      <c r="O349" s="1">
        <v>11572.4413658734</v>
      </c>
      <c r="P349" s="1">
        <v>783.261150836944</v>
      </c>
      <c r="R349" s="1">
        <v>11445.8941281063</v>
      </c>
      <c r="S349" s="1">
        <v>331.691313982009</v>
      </c>
    </row>
    <row r="350">
      <c r="C350" s="1">
        <v>200.0</v>
      </c>
      <c r="D350" s="1">
        <v>30.0</v>
      </c>
      <c r="E350" s="1">
        <v>5.0</v>
      </c>
      <c r="F350" s="1"/>
      <c r="G350" s="1">
        <v>8556.68546211914</v>
      </c>
      <c r="H350" s="1">
        <v>47.2069990634918</v>
      </c>
      <c r="I350" s="1">
        <v>11784.6802947465</v>
      </c>
      <c r="J350" s="1">
        <v>9976.23701824578</v>
      </c>
      <c r="K350" s="1">
        <v>3600.03510832786</v>
      </c>
      <c r="L350" s="1">
        <v>30163.0</v>
      </c>
      <c r="M350" s="1">
        <f t="shared" si="125"/>
        <v>15.3</v>
      </c>
      <c r="O350" s="1">
        <v>8562.82864772636</v>
      </c>
      <c r="P350" s="1">
        <v>838.023097276687</v>
      </c>
      <c r="R350" s="1">
        <v>8383.21081907243</v>
      </c>
      <c r="S350" s="1">
        <v>348.272006273269</v>
      </c>
    </row>
    <row r="351">
      <c r="C351" s="1">
        <v>200.0</v>
      </c>
      <c r="D351" s="1">
        <v>30.0</v>
      </c>
      <c r="E351" s="1">
        <v>6.0</v>
      </c>
      <c r="F351" s="1"/>
      <c r="G351" s="1">
        <v>11073.2711713776</v>
      </c>
      <c r="H351" s="1">
        <v>46.9169170856475</v>
      </c>
      <c r="I351" s="1">
        <v>13827.5529902506</v>
      </c>
      <c r="J351" s="1">
        <v>12430.4681454344</v>
      </c>
      <c r="K351" s="1">
        <v>3600.04275727272</v>
      </c>
      <c r="L351" s="1">
        <v>30193.0</v>
      </c>
      <c r="M351" s="1">
        <f t="shared" si="125"/>
        <v>10.1</v>
      </c>
      <c r="O351" s="1">
        <v>11081.2588647983</v>
      </c>
      <c r="P351" s="1">
        <v>936.241130113601</v>
      </c>
      <c r="R351" s="1">
        <v>10956.1233764288</v>
      </c>
      <c r="S351" s="1">
        <v>443.340827703475</v>
      </c>
    </row>
    <row r="352">
      <c r="C352" s="1">
        <v>200.0</v>
      </c>
      <c r="D352" s="1">
        <v>30.0</v>
      </c>
      <c r="E352" s="1">
        <v>7.0</v>
      </c>
      <c r="F352" s="1"/>
      <c r="G352" s="1">
        <v>8595.5011315011</v>
      </c>
      <c r="H352" s="1">
        <v>46.9655394554138</v>
      </c>
      <c r="I352" s="1">
        <v>10753.0721360745</v>
      </c>
      <c r="J352" s="1">
        <v>9884.93672836267</v>
      </c>
      <c r="K352" s="1">
        <v>3600.01179814338</v>
      </c>
      <c r="L352" s="1">
        <v>30183.0</v>
      </c>
      <c r="M352" s="1">
        <f t="shared" si="125"/>
        <v>8</v>
      </c>
      <c r="O352" s="1">
        <v>8602.30562406595</v>
      </c>
      <c r="P352" s="1">
        <v>736.450772047042</v>
      </c>
      <c r="R352" s="1">
        <v>8448.84145770236</v>
      </c>
      <c r="S352" s="1">
        <v>322.068481683731</v>
      </c>
    </row>
    <row r="353">
      <c r="C353" s="1">
        <v>200.0</v>
      </c>
      <c r="D353" s="1">
        <v>30.0</v>
      </c>
      <c r="E353" s="1">
        <v>8.0</v>
      </c>
      <c r="F353" s="1"/>
      <c r="G353" s="1">
        <v>10719.2393705447</v>
      </c>
      <c r="H353" s="1">
        <v>46.8708295822143</v>
      </c>
      <c r="I353" s="1">
        <v>13288.6338527296</v>
      </c>
      <c r="J353" s="1">
        <v>12125.541178011</v>
      </c>
      <c r="K353" s="1">
        <v>3600.29295825958</v>
      </c>
      <c r="L353" s="1">
        <v>30251.0</v>
      </c>
      <c r="M353" s="1">
        <f t="shared" si="125"/>
        <v>8.7</v>
      </c>
      <c r="O353" s="1">
        <v>10726.484424408</v>
      </c>
      <c r="P353" s="1">
        <v>934.609817504882</v>
      </c>
      <c r="R353" s="1">
        <v>10600.5285851264</v>
      </c>
      <c r="S353" s="1">
        <v>336.446001529693</v>
      </c>
    </row>
    <row r="354">
      <c r="C354" s="1">
        <v>200.0</v>
      </c>
      <c r="D354" s="1">
        <v>30.0</v>
      </c>
      <c r="E354" s="1">
        <v>9.0</v>
      </c>
      <c r="F354" s="1"/>
      <c r="G354" s="1">
        <v>11015.9906656055</v>
      </c>
      <c r="H354" s="1">
        <v>46.7085995674133</v>
      </c>
      <c r="I354" s="1">
        <v>14427.3661358508</v>
      </c>
      <c r="J354" s="1">
        <v>12421.8781292724</v>
      </c>
      <c r="K354" s="1">
        <v>3600.1187903881</v>
      </c>
      <c r="L354" s="1">
        <v>30157.0</v>
      </c>
      <c r="M354" s="1">
        <f t="shared" si="125"/>
        <v>13.9</v>
      </c>
      <c r="O354" s="1">
        <v>11023.4116632637</v>
      </c>
      <c r="P354" s="1">
        <v>984.151961803436</v>
      </c>
      <c r="R354" s="1">
        <v>10907.2465274722</v>
      </c>
      <c r="S354" s="1">
        <v>300.217926979064</v>
      </c>
    </row>
    <row r="355">
      <c r="G355" s="8">
        <f t="shared" ref="G355:M355" si="126">AVERAGE(G345:G354)</f>
        <v>10384.88707</v>
      </c>
      <c r="H355" s="8">
        <f t="shared" si="126"/>
        <v>47.1715039</v>
      </c>
      <c r="I355" s="8">
        <f t="shared" si="126"/>
        <v>13202.87603</v>
      </c>
      <c r="J355" s="8">
        <f t="shared" si="126"/>
        <v>11776.19736</v>
      </c>
      <c r="K355" s="8">
        <f t="shared" si="126"/>
        <v>3600.247617</v>
      </c>
      <c r="L355" s="8">
        <f t="shared" si="126"/>
        <v>30143.6</v>
      </c>
      <c r="M355" s="8">
        <f t="shared" si="126"/>
        <v>10.68</v>
      </c>
      <c r="O355" s="8">
        <f t="shared" ref="O355:P355" si="127">AVERAGE(O345:O354)</f>
        <v>10392.23757</v>
      </c>
      <c r="P355" s="8">
        <f t="shared" si="127"/>
        <v>943.6912823</v>
      </c>
      <c r="R355" s="8">
        <f t="shared" ref="R355:S355" si="128">AVERAGE(R345:R354)</f>
        <v>10255.05818</v>
      </c>
      <c r="S355" s="8">
        <f t="shared" si="128"/>
        <v>351.3969149</v>
      </c>
    </row>
  </sheetData>
  <drawing r:id="rId1"/>
</worksheet>
</file>